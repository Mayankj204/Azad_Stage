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zad Foundation\2025-26\MIS digitization\FLP Mis data sheets\"/>
    </mc:Choice>
  </mc:AlternateContent>
  <xr:revisionPtr revIDLastSave="0" documentId="8_{EDA9DD0D-65DE-458A-9862-E4EE29D1E938}" xr6:coauthVersionLast="47" xr6:coauthVersionMax="47" xr10:uidLastSave="{00000000-0000-0000-0000-000000000000}"/>
  <bookViews>
    <workbookView xWindow="-120" yWindow="-120" windowWidth="20730" windowHeight="11040" xr2:uid="{00000000-000D-0000-FFFF-FFFF00000000}"/>
  </bookViews>
  <sheets>
    <sheet name="Profile" sheetId="1" r:id="rId1"/>
    <sheet name="Family Profile" sheetId="2" r:id="rId2"/>
    <sheet name="Cumulative Outputs" sheetId="3" r:id="rId3"/>
    <sheet name="Peer Group Feminist engagement" sheetId="4" r:id="rId4"/>
    <sheet name="Training &amp; Interphase Activity" sheetId="5" r:id="rId5"/>
    <sheet name="Sheet6" sheetId="6" r:id="rId6"/>
  </sheets>
  <definedNames>
    <definedName name="_xlnm._FilterDatabase" localSheetId="0" hidden="1">Profile!$A$66:$AO$92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78" i="3" l="1"/>
  <c r="AQ77" i="3"/>
  <c r="AP77" i="3"/>
  <c r="AO77" i="3"/>
  <c r="AN77" i="3"/>
  <c r="AM77" i="3"/>
  <c r="AL77" i="3"/>
  <c r="AK77" i="3"/>
  <c r="AJ74" i="3"/>
  <c r="AJ73" i="3"/>
  <c r="AJ72" i="3"/>
  <c r="AJ71" i="3"/>
  <c r="AJ77" i="3" s="1"/>
  <c r="BL70" i="3"/>
  <c r="BK70" i="3"/>
  <c r="AT70" i="3"/>
  <c r="AJ70" i="3"/>
  <c r="AJ69" i="3"/>
  <c r="AJ68" i="3"/>
  <c r="AJ67" i="3"/>
  <c r="AJ66" i="3"/>
  <c r="AJ65" i="3"/>
  <c r="AJ64" i="3"/>
  <c r="AJ63" i="3"/>
  <c r="AJ62" i="3"/>
  <c r="BL61" i="3"/>
  <c r="BL62" i="3" s="1"/>
  <c r="AJ61" i="3"/>
  <c r="BL60" i="3"/>
  <c r="AT60" i="3"/>
  <c r="AJ60" i="3"/>
  <c r="AJ59" i="3"/>
  <c r="BL58" i="3"/>
  <c r="AT58" i="3"/>
  <c r="AJ58" i="3"/>
  <c r="AJ57" i="3"/>
  <c r="BL56" i="3"/>
  <c r="AT56" i="3"/>
  <c r="AT61" i="3" s="1"/>
  <c r="AT62" i="3" s="1"/>
  <c r="AJ56" i="3"/>
  <c r="AJ55" i="3"/>
  <c r="AJ54" i="3"/>
  <c r="AJ53" i="3"/>
  <c r="BL52" i="3"/>
  <c r="AT52" i="3"/>
  <c r="AJ52" i="3"/>
  <c r="AJ51" i="3"/>
  <c r="AJ50" i="3"/>
  <c r="AJ49" i="3"/>
  <c r="AJ48" i="3"/>
  <c r="AJ47" i="3"/>
  <c r="AJ46" i="3"/>
  <c r="AJ45" i="3"/>
  <c r="AJ44" i="3"/>
  <c r="AD44" i="3"/>
  <c r="BL43" i="3"/>
  <c r="AJ43" i="3"/>
  <c r="AD43" i="3"/>
  <c r="AA43" i="3"/>
  <c r="AA44" i="3" s="1"/>
  <c r="Z43" i="3"/>
  <c r="Y43" i="3"/>
  <c r="X43" i="3"/>
  <c r="X44" i="3" s="1"/>
  <c r="W43" i="3"/>
  <c r="V43" i="3"/>
  <c r="V44" i="3" s="1"/>
  <c r="AJ42" i="3"/>
  <c r="AJ41" i="3"/>
  <c r="AJ40" i="3"/>
  <c r="AJ39" i="3"/>
  <c r="AJ38" i="3"/>
  <c r="AJ37" i="3"/>
  <c r="AJ36" i="3"/>
  <c r="AJ35" i="3"/>
  <c r="AJ34" i="3"/>
  <c r="AJ33" i="3"/>
  <c r="AJ32" i="3"/>
  <c r="AJ31" i="3"/>
  <c r="AJ30" i="3"/>
  <c r="Z92" i="1"/>
  <c r="Z91" i="1"/>
  <c r="Z90" i="1"/>
  <c r="Z89" i="1"/>
  <c r="Z88" i="1"/>
  <c r="Z87" i="1"/>
  <c r="Z86" i="1"/>
  <c r="Z85" i="1"/>
  <c r="Z84" i="1"/>
  <c r="Z83" i="1"/>
  <c r="Z82" i="1"/>
  <c r="Z81" i="1"/>
  <c r="Z80" i="1"/>
  <c r="Z79" i="1"/>
  <c r="Z78" i="1"/>
  <c r="Z77" i="1"/>
  <c r="Z76" i="1"/>
  <c r="Z75" i="1"/>
  <c r="Z74" i="1"/>
  <c r="Z73" i="1"/>
  <c r="Z72" i="1"/>
  <c r="Z71" i="1"/>
  <c r="Z70" i="1"/>
  <c r="Z69" i="1"/>
  <c r="Z68" i="1"/>
  <c r="Z67"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1" i="1"/>
  <c r="Z30" i="1"/>
  <c r="Z29" i="1"/>
  <c r="Z28" i="1"/>
  <c r="Z27" i="1"/>
  <c r="Z26" i="1"/>
  <c r="Z25" i="1"/>
  <c r="Z24" i="1"/>
  <c r="Z23" i="1"/>
  <c r="Z22" i="1"/>
  <c r="Z21" i="1"/>
  <c r="Z20" i="1"/>
  <c r="Z19" i="1"/>
  <c r="Z18" i="1"/>
  <c r="Z17" i="1"/>
  <c r="Z16" i="1"/>
  <c r="Z15" i="1"/>
  <c r="Z14" i="1"/>
  <c r="Z13" i="1"/>
  <c r="Z12" i="1"/>
  <c r="Z11" i="1"/>
  <c r="Z10" i="1"/>
  <c r="Z9" i="1"/>
  <c r="Z8" i="1"/>
  <c r="Z7" i="1"/>
  <c r="Z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5" authorId="0" shapeId="0" xr:uid="{00000000-0006-0000-0200-000010000000}">
      <text>
        <r>
          <rPr>
            <sz val="10"/>
            <color rgb="FF000000"/>
            <rFont val="Arial"/>
            <scheme val="minor"/>
          </rPr>
          <t>survey
	-Deotima Chowdhury</t>
        </r>
      </text>
    </comment>
    <comment ref="G16" authorId="0" shapeId="0" xr:uid="{00000000-0006-0000-0200-00000F000000}">
      <text>
        <r>
          <rPr>
            <sz val="10"/>
            <color rgb="FF000000"/>
            <rFont val="Arial"/>
            <scheme val="minor"/>
          </rPr>
          <t>survey
	-Deotima Chowdhury</t>
        </r>
      </text>
    </comment>
    <comment ref="G17" authorId="0" shapeId="0" xr:uid="{00000000-0006-0000-0200-00000E000000}">
      <text>
        <r>
          <rPr>
            <sz val="10"/>
            <color rgb="FF000000"/>
            <rFont val="Arial"/>
            <scheme val="minor"/>
          </rPr>
          <t>survey
	-Deotima Chowdhury</t>
        </r>
      </text>
    </comment>
    <comment ref="G18" authorId="0" shapeId="0" xr:uid="{00000000-0006-0000-0200-00000D000000}">
      <text>
        <r>
          <rPr>
            <sz val="10"/>
            <color rgb="FF000000"/>
            <rFont val="Arial"/>
            <scheme val="minor"/>
          </rPr>
          <t>survey
	-Deotima Chowdhury</t>
        </r>
      </text>
    </comment>
    <comment ref="G19" authorId="0" shapeId="0" xr:uid="{00000000-0006-0000-0200-00000C000000}">
      <text>
        <r>
          <rPr>
            <sz val="10"/>
            <color rgb="FF000000"/>
            <rFont val="Arial"/>
            <scheme val="minor"/>
          </rPr>
          <t>survey and community work
	-Deotima Chowdhury</t>
        </r>
      </text>
    </comment>
    <comment ref="G21" authorId="0" shapeId="0" xr:uid="{00000000-0006-0000-0200-00000B000000}">
      <text>
        <r>
          <rPr>
            <sz val="10"/>
            <color rgb="FF000000"/>
            <rFont val="Arial"/>
            <scheme val="minor"/>
          </rPr>
          <t>survey and community work
	-Deotima Chowdhury</t>
        </r>
      </text>
    </comment>
    <comment ref="F24" authorId="0" shapeId="0" xr:uid="{00000000-0006-0000-0200-00000A000000}">
      <text>
        <r>
          <rPr>
            <sz val="10"/>
            <color rgb="FF000000"/>
            <rFont val="Arial"/>
            <scheme val="minor"/>
          </rPr>
          <t>Rahimastagar Road
	-Sampa Das
----
Dhakuria, Goria, Balyganj, Bandelgate, Ambedkar colony, Tolyganj, Masjid bari lane, mallik bazar, Tiljala, Kalikapur, Rahimastagar road, Gobindapur , Piyara bagan
	-Sampa Das</t>
        </r>
      </text>
    </comment>
    <comment ref="F30" authorId="0" shapeId="0" xr:uid="{00000000-0006-0000-0200-000009000000}">
      <text>
        <r>
          <rPr>
            <sz val="10"/>
            <color rgb="FF000000"/>
            <rFont val="Arial"/>
            <scheme val="minor"/>
          </rPr>
          <t>Swiholane, Natorpark,Panchanantala, Bandarpatti, Kadarhat, Singhomore, piyarabagan, jagannath ghoshlane, bose pukur, Pagla hostital, Hosenpur, Khurigachi, Rashbari, Haddibagan, Baghajatin, Tiljala, Haltu, Kasba, Law college,
	-Sampa Das</t>
        </r>
      </text>
    </comment>
    <comment ref="F31" authorId="0" shapeId="0" xr:uid="{00000000-0006-0000-0200-000007000000}">
      <text>
        <r>
          <rPr>
            <sz val="10"/>
            <color rgb="FF000000"/>
            <rFont val="Arial"/>
            <scheme val="minor"/>
          </rPr>
          <t>Sabgachi, Topsia 2nd lane, Choebaga, Uttarpubanchal, Dhapa, Motijhil, Kulia Tangra, Entali, Narkeldanga, Bedbagan, Rajabazar, Barafkal, Park circus, Muchi bazar, Narkeldanga , Mahisbnathan, Muchibazar, patipukur, MG, Boubazar, Natun Bajar,8 no Pagla Danga
	-Sampa Das</t>
        </r>
      </text>
    </comment>
    <comment ref="F32" authorId="0" shapeId="0" xr:uid="{00000000-0006-0000-0200-000008000000}">
      <text>
        <r>
          <rPr>
            <sz val="10"/>
            <color rgb="FF000000"/>
            <rFont val="Arial"/>
            <scheme val="minor"/>
          </rPr>
          <t>Swiholane, Natorpark,Panchanantala, Bandarpatti, Kadarhat, Singhomore, piyarabagan, jagannath ghoshlane, bose pukur, Pagla hostital, Hosenpur, Khurigachi, Rashbari, Haddibagan, Baghajatin, Tiljala, Haltu, Kasba, Law college, Masjidbari, Baburbagan, Kustia, Picnicgurden, Sibtala, Daspur, Purba rajapur.
	-Sampa Das</t>
        </r>
      </text>
    </comment>
    <comment ref="F33" authorId="0" shapeId="0" xr:uid="{00000000-0006-0000-0200-000006000000}">
      <text>
        <r>
          <rPr>
            <sz val="10"/>
            <color rgb="FF000000"/>
            <rFont val="Arial"/>
            <scheme val="minor"/>
          </rPr>
          <t>Ultadanga 4no, Mahibathan, Belgachiya, Muslim camp, Sealdah brize, Pamar bazar, Barafcal, Bedbagan, Maturbabu lane , Kilkana , Kulia Tangra , Natun Rajar hat, 8No pagla danga, Subgachi, Basanti Devi colony, Uttarpanchanan, Kachari para
	-Sampa Das</t>
        </r>
      </text>
    </comment>
    <comment ref="F35" authorId="0" shapeId="0" xr:uid="{00000000-0006-0000-0200-000005000000}">
      <text>
        <r>
          <rPr>
            <sz val="10"/>
            <color rgb="FF000000"/>
            <rFont val="Arial"/>
            <scheme val="minor"/>
          </rPr>
          <t>Belgachiya, Subgachi, Topsia, Uttarpanchanan, Dhapa, Mathpukur, Kulia tangra, Motijhil, Pamarbazar, Barafkal, sarkarbazar, , Pagladanga, Maniktala, Nakeldanga, Biprodastreet, Rajabazar,
	-Sampa Das</t>
        </r>
      </text>
    </comment>
    <comment ref="F37" authorId="0" shapeId="0" xr:uid="{00000000-0006-0000-0200-000004000000}">
      <text>
        <r>
          <rPr>
            <sz val="10"/>
            <color rgb="FF000000"/>
            <rFont val="Arial"/>
            <scheme val="minor"/>
          </rPr>
          <t>Kalighat, Pachpota(Goria), Kadarhat, Khurigachi, Samatpur, Mudiyali, Mayurbanch, Kalikapur, Potuapara, Madartala, Tiljala, Swinolane, Vivekananda nagar, Sahebbagan, Gajapark.
	-Sampa Das</t>
        </r>
      </text>
    </comment>
    <comment ref="F38" authorId="0" shapeId="0" xr:uid="{00000000-0006-0000-0200-000002000000}">
      <text>
        <r>
          <rPr>
            <sz val="10"/>
            <color rgb="FF000000"/>
            <rFont val="Arial"/>
            <scheme val="minor"/>
          </rPr>
          <t>Topsia 1st lane, Topsia 2nd lane, Mathpukur, Subgachi , GJ khan road , Chingrighata, Panchanya, Khanna, Baghmari, Kuliatangra, Bedbagan, Motijhil, Sealdah, Entally, Dhapa, Mathubabulane, Krishtopher road, Narkeldanga, APC road, Nalin Sarkar street, Grey street, Canel west road, Arabinda sarani, Gorapada sarkar road, bidhannagar, Belgachiya, Baghmari, Muraripukur,Nrayanpur
	-Sampa Das</t>
        </r>
      </text>
    </comment>
    <comment ref="F40" authorId="0" shapeId="0" xr:uid="{00000000-0006-0000-0200-000003000000}">
      <text>
        <r>
          <rPr>
            <sz val="10"/>
            <color rgb="FF000000"/>
            <rFont val="Arial"/>
            <scheme val="minor"/>
          </rPr>
          <t>Topsia, Subgachi, Cowbaga, Gorumore, Duttabad, Khanna, Muslim camp, Kulia Tangra, Bedbagan, Motijhil, Gajabagan, Sealdah, Mathur babulane, Dhapa, Chinapara, Chatubabu lane, Kustia, Bedonstreet, Rajabazar, Kadapara, Radhanath chowdhury road, Hatibagan, Bengal chemical
	-Sampa Das</t>
        </r>
      </text>
    </comment>
    <comment ref="F41" authorId="0" shapeId="0" xr:uid="{00000000-0006-0000-0200-000001000000}">
      <text>
        <r>
          <rPr>
            <sz val="10"/>
            <color rgb="FF000000"/>
            <rFont val="Arial"/>
            <scheme val="minor"/>
          </rPr>
          <t>Belgachya, Mahibathan, Tangra, Galif Street, Dumdum, Patipukur, Bedonstreeet, Girish park, Kustia Narkeldanga, Kulia Tangra, Mathurbabulane, Sealdah, Motijhil, Bostala, Chatubabulane, Beleghata, Dhapa, Topsia, Subgachi, GJ Khan Road, Khanna, Uttarpanchanan, Panchana, Chingrighata, Narayanpur, Gola ghata, Bedon street , Sukhiastreet
	-Sampa Das</t>
        </r>
      </text>
    </comment>
  </commentList>
</comments>
</file>

<file path=xl/sharedStrings.xml><?xml version="1.0" encoding="utf-8"?>
<sst xmlns="http://schemas.openxmlformats.org/spreadsheetml/2006/main" count="4583" uniqueCount="1382">
  <si>
    <t>Enrolment Number</t>
  </si>
  <si>
    <t>Name</t>
  </si>
  <si>
    <t>Status</t>
  </si>
  <si>
    <t>Reason, If walkout</t>
  </si>
  <si>
    <t>Date of Birth</t>
  </si>
  <si>
    <t>Age at the time of enrollment</t>
  </si>
  <si>
    <t>Address</t>
  </si>
  <si>
    <t>Email Id</t>
  </si>
  <si>
    <t>Mobile Number</t>
  </si>
  <si>
    <t>How did you come to know about Azad?</t>
  </si>
  <si>
    <t>Which Mobilization Activity?</t>
  </si>
  <si>
    <t>Describe, If Any other</t>
  </si>
  <si>
    <t>Enrollment done through</t>
  </si>
  <si>
    <t>Caste Category</t>
  </si>
  <si>
    <t>Community (Religion)</t>
  </si>
  <si>
    <t>Marital status</t>
  </si>
  <si>
    <t>If Married, what was your age at the time of marriage?</t>
  </si>
  <si>
    <t xml:space="preserve">Number of Children </t>
  </si>
  <si>
    <t>Education Qulaification</t>
  </si>
  <si>
    <t xml:space="preserve">Are you still studying? </t>
  </si>
  <si>
    <t>If yes, Specify what are you studying</t>
  </si>
  <si>
    <t>Monthly Family Income</t>
  </si>
  <si>
    <t>Number of Member in the family</t>
  </si>
  <si>
    <t>Per Capita Income (not to be filled, it will be automatically calculated)</t>
  </si>
  <si>
    <t>Bank Name</t>
  </si>
  <si>
    <t>Bank Account Number</t>
  </si>
  <si>
    <t>Branch</t>
  </si>
  <si>
    <t>IFSC Code</t>
  </si>
  <si>
    <t xml:space="preserve">Have you worked in any organization(NGO) 
before </t>
  </si>
  <si>
    <t>If yes, Where?</t>
  </si>
  <si>
    <t>What was the nature of the work?</t>
  </si>
  <si>
    <t>If Yes, what was the  last drwn monthly salary/Honorarium/Stipend</t>
  </si>
  <si>
    <t>Who supported 
your decision to join in Feminist Leadership Program (FLP)</t>
  </si>
  <si>
    <t>Why do you want to be a part Feminist leadership Program
 Share 3 reasons</t>
  </si>
  <si>
    <t>Challenges you may face during the FLP Training</t>
  </si>
  <si>
    <t>What do you want to 
become in future?</t>
  </si>
  <si>
    <t>2023-24</t>
  </si>
  <si>
    <t>Batch 4</t>
  </si>
  <si>
    <t>Target of Enrollemnt</t>
  </si>
  <si>
    <t>Number Acheived</t>
  </si>
  <si>
    <t>S.Number</t>
  </si>
  <si>
    <t>WB/SK/2023/1</t>
  </si>
  <si>
    <t>KAISAR AZIZ</t>
  </si>
  <si>
    <t>Active</t>
  </si>
  <si>
    <t>2.4.1986</t>
  </si>
  <si>
    <t>19 TILJALA LANE,KOL 39</t>
  </si>
  <si>
    <t>Azad Staff</t>
  </si>
  <si>
    <t>General</t>
  </si>
  <si>
    <t>Muslim</t>
  </si>
  <si>
    <t>Unmarried</t>
  </si>
  <si>
    <t>WB/NK/2023/2</t>
  </si>
  <si>
    <t>AMRITA MONDAL</t>
  </si>
  <si>
    <t>18.8.1996</t>
  </si>
  <si>
    <t>TAPURIYAGHATA,KOL 105</t>
  </si>
  <si>
    <t>Friend/Known</t>
  </si>
  <si>
    <t>Christian</t>
  </si>
  <si>
    <t>WB/SK/2023/3</t>
  </si>
  <si>
    <t>SAGARIKA BAURI</t>
  </si>
  <si>
    <t>10.1.2001</t>
  </si>
  <si>
    <t>2 NO HATGACHIYA DHAPA ROAD, KOL 105</t>
  </si>
  <si>
    <t>SC</t>
  </si>
  <si>
    <t>Hindu</t>
  </si>
  <si>
    <t>WB/SK/2023/4</t>
  </si>
  <si>
    <t>MARY JOHNSON</t>
  </si>
  <si>
    <t>26.9.1994</t>
  </si>
  <si>
    <t>1 NO SHAMSUL HUDA ROAD,KOL 17</t>
  </si>
  <si>
    <t>WB/SK/2023/5</t>
  </si>
  <si>
    <t>RAKHI HALDER</t>
  </si>
  <si>
    <t>20.7.1999</t>
  </si>
  <si>
    <t>86 C KAKULIA ROAD,KOL 29</t>
  </si>
  <si>
    <t>Sakha Driver</t>
  </si>
  <si>
    <t>WB/SK/2023/6</t>
  </si>
  <si>
    <t>PRIYANKA PATRA</t>
  </si>
  <si>
    <t>21.8.2001</t>
  </si>
  <si>
    <t>2 NO HATGACHIYA DHAPA ROAD,KOL 105</t>
  </si>
  <si>
    <t>8420074840/6289333345</t>
  </si>
  <si>
    <t>WB/SK/2023/7</t>
  </si>
  <si>
    <t>SUMITA MONDAL</t>
  </si>
  <si>
    <t>Walkout</t>
  </si>
  <si>
    <t>20.5.1980</t>
  </si>
  <si>
    <t>39 DCD ROAD,KOL 15</t>
  </si>
  <si>
    <t>Mobilization Activity</t>
  </si>
  <si>
    <t>Survey</t>
  </si>
  <si>
    <t>Married</t>
  </si>
  <si>
    <t>WB/SK/2023/8</t>
  </si>
  <si>
    <t>RATNA ROUTH</t>
  </si>
  <si>
    <t>8.11.1992</t>
  </si>
  <si>
    <t>36 DCD ROAD,KOL 15</t>
  </si>
  <si>
    <t>WB/SK/2023/9</t>
  </si>
  <si>
    <t>SANGITA NASKAR</t>
  </si>
  <si>
    <t>8.10.1980</t>
  </si>
  <si>
    <t>MAHESTALA ,BATTALA, South 24 pgs,wb 18</t>
  </si>
  <si>
    <t>Separated</t>
  </si>
  <si>
    <t>WB/NK/2023/10</t>
  </si>
  <si>
    <t>SHAHNAZ KHATOON</t>
  </si>
  <si>
    <t>11.12.1994</t>
  </si>
  <si>
    <t>6/2,MEHER ALI LANE,TANGRA, KOL 15</t>
  </si>
  <si>
    <t>WB/NK/2023/11</t>
  </si>
  <si>
    <t>SHAISTA MOIN</t>
  </si>
  <si>
    <t>21.11.2002</t>
  </si>
  <si>
    <t>1/A BRICK FIELD LANE, TOPSIA,KOL 39</t>
  </si>
  <si>
    <t>6290868246/9330687933</t>
  </si>
  <si>
    <t>WB/SK/2023/12</t>
  </si>
  <si>
    <t>ASGARI BANO</t>
  </si>
  <si>
    <t>25.12.2004</t>
  </si>
  <si>
    <t>4C TOPSIA EAST LANE,KOL 39</t>
  </si>
  <si>
    <t>WB/NK/2023/13</t>
  </si>
  <si>
    <t>NAAZ PARVEEN</t>
  </si>
  <si>
    <t>20.5.2003</t>
  </si>
  <si>
    <t>35 DCD ROAD,KOL 15</t>
  </si>
  <si>
    <t>WB/SK/2023/14</t>
  </si>
  <si>
    <t>PROMILA DAS</t>
  </si>
  <si>
    <t>17.12.1998</t>
  </si>
  <si>
    <t>36/2 PGM SHAH ROAD,KOL 33</t>
  </si>
  <si>
    <t>WB/NK/2023/15</t>
  </si>
  <si>
    <t>PUJA MONDAL</t>
  </si>
  <si>
    <t>17.11.2002</t>
  </si>
  <si>
    <t>SALT LAKE SECTOR 4, BIDHANNAGAR,KOL 105</t>
  </si>
  <si>
    <t>WB/SK/2023/16</t>
  </si>
  <si>
    <t>AFSANA KHATOON</t>
  </si>
  <si>
    <t>23.6.1998</t>
  </si>
  <si>
    <t>41A/2 G J KHAN ROAD,KOL 39</t>
  </si>
  <si>
    <t>WB/NK/2023/17</t>
  </si>
  <si>
    <t>GITA ROY</t>
  </si>
  <si>
    <t>19.1.1998</t>
  </si>
  <si>
    <t>B/8 BIDHANANAGAR,NAOBHANGA,KOL 105</t>
  </si>
  <si>
    <t>WB/SK/2023/18</t>
  </si>
  <si>
    <t>SONI KUMARI BHUIA</t>
  </si>
  <si>
    <t>2.5.2003</t>
  </si>
  <si>
    <t>KULIA TANGRA 1ST LANE, KOL 15</t>
  </si>
  <si>
    <t>WB/SK/2023/19</t>
  </si>
  <si>
    <t>ANSHU PODDAR</t>
  </si>
  <si>
    <t>7.7.2003</t>
  </si>
  <si>
    <t>1 NO KULIA TANGRA 1ST LANE, KOL 15</t>
  </si>
  <si>
    <t>WB/NK/2023/20</t>
  </si>
  <si>
    <t>TASLIMA BEGUM</t>
  </si>
  <si>
    <t>17.4.1987</t>
  </si>
  <si>
    <t>3/H/12,RAJA DINENDRA STREET,KOL 9</t>
  </si>
  <si>
    <t>WB/SK/2023/21</t>
  </si>
  <si>
    <t>PUJA DAS</t>
  </si>
  <si>
    <t>28.12.94</t>
  </si>
  <si>
    <t>39 BELTALA ROAD, KOL 20</t>
  </si>
  <si>
    <t>Pamphlet Distribution</t>
  </si>
  <si>
    <t>2024-25</t>
  </si>
  <si>
    <t>Batch 5</t>
  </si>
  <si>
    <t>SL</t>
  </si>
  <si>
    <t>WB/ SK / 2024/1</t>
  </si>
  <si>
    <t xml:space="preserve">Suman Singh </t>
  </si>
  <si>
    <t>31/08/1991</t>
  </si>
  <si>
    <t>Sonarpur Kalikapur , Milan Mandir club Kolkata 150</t>
  </si>
  <si>
    <t>12th Pass</t>
  </si>
  <si>
    <t>No</t>
  </si>
  <si>
    <t xml:space="preserve">Union Bank </t>
  </si>
  <si>
    <t xml:space="preserve">Rajpur, Sonarpur </t>
  </si>
  <si>
    <t>UBIN0567795</t>
  </si>
  <si>
    <t xml:space="preserve">Mother in Law </t>
  </si>
  <si>
    <t xml:space="preserve">I want gain many more knowledge about social work </t>
  </si>
  <si>
    <t>Staying away from family its self a challenge</t>
  </si>
  <si>
    <t xml:space="preserve">In future I want to help others for social work </t>
  </si>
  <si>
    <t>WB/ SK / 2024/2</t>
  </si>
  <si>
    <t xml:space="preserve">Khusi Kumari </t>
  </si>
  <si>
    <t>19/02/2004</t>
  </si>
  <si>
    <t>1, Kulia Tangra 1st Lane, Entally , Tangra, Kol-15</t>
  </si>
  <si>
    <t xml:space="preserve">khushibhiya56@gmail.com </t>
  </si>
  <si>
    <t>Bank of India</t>
  </si>
  <si>
    <t xml:space="preserve">Debendra Chandra Dey Road </t>
  </si>
  <si>
    <t>BKID00004049</t>
  </si>
  <si>
    <t>Mother</t>
  </si>
  <si>
    <t>Through this I will learn many more things</t>
  </si>
  <si>
    <t xml:space="preserve">No issues </t>
  </si>
  <si>
    <t xml:space="preserve">In future I want to be independent women </t>
  </si>
  <si>
    <t>WB/SK/2024/3</t>
  </si>
  <si>
    <t xml:space="preserve">Nazia Parveen </t>
  </si>
  <si>
    <t>22/10/1993</t>
  </si>
  <si>
    <t>28/H/2Debendra chandra Dey Road Kol- 15</t>
  </si>
  <si>
    <t>OBC</t>
  </si>
  <si>
    <t xml:space="preserve">DC Dey Road </t>
  </si>
  <si>
    <t xml:space="preserve">To learn someting new new </t>
  </si>
  <si>
    <t xml:space="preserve">Residential training it self a challenge </t>
  </si>
  <si>
    <t xml:space="preserve">Teacher </t>
  </si>
  <si>
    <t>WB/SK/2024/4</t>
  </si>
  <si>
    <t>Madhumita Sardar</t>
  </si>
  <si>
    <t>Dihi Sivaji Sangha Ganga Jawara Nayabad 150</t>
  </si>
  <si>
    <t>Kalikapur</t>
  </si>
  <si>
    <t>BKID0004074</t>
  </si>
  <si>
    <t xml:space="preserve">Through this program I want to create own identity </t>
  </si>
  <si>
    <t xml:space="preserve">In future I want to work with any NGO who help other </t>
  </si>
  <si>
    <t>WB/SK/2024/5</t>
  </si>
  <si>
    <t xml:space="preserve">Dipika Mondal </t>
  </si>
  <si>
    <t>30E Tiljala Road Kol 39</t>
  </si>
  <si>
    <t>10th Pass</t>
  </si>
  <si>
    <t>Indian Overseas Bank</t>
  </si>
  <si>
    <t xml:space="preserve">Ballyganf Park Road </t>
  </si>
  <si>
    <t>OBA0000477</t>
  </si>
  <si>
    <t xml:space="preserve">Husband </t>
  </si>
  <si>
    <t xml:space="preserve">I want to learn new things about social work </t>
  </si>
  <si>
    <t xml:space="preserve">Family responsibility </t>
  </si>
  <si>
    <t xml:space="preserve">In futute I want to be a social worker </t>
  </si>
  <si>
    <t>WB/SK/2024/6</t>
  </si>
  <si>
    <t xml:space="preserve">Dipa Sah </t>
  </si>
  <si>
    <t>28/06/1994</t>
  </si>
  <si>
    <t>42, Tangra Road, Kol15</t>
  </si>
  <si>
    <t xml:space="preserve">sahdeepa20@gmail.com </t>
  </si>
  <si>
    <t>Graduate</t>
  </si>
  <si>
    <t>State Bank of India</t>
  </si>
  <si>
    <t>Tangra (Culcutta)</t>
  </si>
  <si>
    <t>SBIN0003737</t>
  </si>
  <si>
    <t xml:space="preserve">Mother </t>
  </si>
  <si>
    <t xml:space="preserve">I want to create own identity become a leader   </t>
  </si>
  <si>
    <t xml:space="preserve">Staying outside of family its a challenge </t>
  </si>
  <si>
    <t xml:space="preserve">I want to be a leader in future </t>
  </si>
  <si>
    <t>WB/SK/2024/7</t>
  </si>
  <si>
    <t>Mousmi Das</t>
  </si>
  <si>
    <t>7/1 Kilia Tangra 2nd Lane Kol-15</t>
  </si>
  <si>
    <t>Union Bank</t>
  </si>
  <si>
    <t>Rajpur, Sonarpur</t>
  </si>
  <si>
    <t xml:space="preserve">Self independent </t>
  </si>
  <si>
    <t xml:space="preserve">Independent Women </t>
  </si>
  <si>
    <t>WB/SK/2024/8</t>
  </si>
  <si>
    <t xml:space="preserve">Rukhsar Khatoon </t>
  </si>
  <si>
    <t>26/02/1995</t>
  </si>
  <si>
    <t>36, Debendra Chandra Dey Road Kol 15</t>
  </si>
  <si>
    <t>rukukhan52@gmail.com</t>
  </si>
  <si>
    <t>Debendra Chandra Dey Road</t>
  </si>
  <si>
    <t>BKID0004049</t>
  </si>
  <si>
    <t>Mother &amp; Father</t>
  </si>
  <si>
    <t xml:space="preserve">To know more about social work </t>
  </si>
  <si>
    <t xml:space="preserve">Language </t>
  </si>
  <si>
    <t>WB/SK/2024/9</t>
  </si>
  <si>
    <t>Tanusree Bar</t>
  </si>
  <si>
    <t>22/02/2001</t>
  </si>
  <si>
    <t>27, Gobinda Khatick Road Kol 46</t>
  </si>
  <si>
    <t>Tangra(Panchanantala)</t>
  </si>
  <si>
    <t>SBIN0008761</t>
  </si>
  <si>
    <t xml:space="preserve">To gain knowledge </t>
  </si>
  <si>
    <t xml:space="preserve">1.5 year baby staying at home without mother is a challege </t>
  </si>
  <si>
    <t>Independent women</t>
  </si>
  <si>
    <t>WB/NK/2024/10</t>
  </si>
  <si>
    <t>Preeti Pandit</t>
  </si>
  <si>
    <t>Natun Polly, Subhasgram kol-147</t>
  </si>
  <si>
    <t>Bank of Baroda</t>
  </si>
  <si>
    <t>BARB0RAJPWB</t>
  </si>
  <si>
    <t xml:space="preserve">To help people </t>
  </si>
  <si>
    <t xml:space="preserve">No challange </t>
  </si>
  <si>
    <t xml:space="preserve">Social worker </t>
  </si>
  <si>
    <t>WB/SK/2024/11</t>
  </si>
  <si>
    <t>Alfisha Hussain</t>
  </si>
  <si>
    <t>1H/2/1 Rajarhat Station Raja Ram Mohan Sarani Kol-09</t>
  </si>
  <si>
    <t>Panjab National Bank</t>
  </si>
  <si>
    <t xml:space="preserve">Mechua Bazar </t>
  </si>
  <si>
    <t>PUNB0034320</t>
  </si>
  <si>
    <t>Yes</t>
  </si>
  <si>
    <t>Thought of Azad</t>
  </si>
  <si>
    <t>To develop my skill</t>
  </si>
  <si>
    <t xml:space="preserve">Community presure </t>
  </si>
  <si>
    <t>WB/SK/2024/12</t>
  </si>
  <si>
    <t xml:space="preserve">Afreen Khatun </t>
  </si>
  <si>
    <t>19/4/2000</t>
  </si>
  <si>
    <t>40 GJ Khan Road Kol- 39</t>
  </si>
  <si>
    <t>FLP Leader</t>
  </si>
  <si>
    <t>Divorced</t>
  </si>
  <si>
    <t>8th Pass</t>
  </si>
  <si>
    <t>Topsia Road</t>
  </si>
  <si>
    <t>UBIN0545856</t>
  </si>
  <si>
    <t>Father</t>
  </si>
  <si>
    <t xml:space="preserve">To be independent women </t>
  </si>
  <si>
    <t xml:space="preserve">Family restriction </t>
  </si>
  <si>
    <t>WB/SK/2024/13</t>
  </si>
  <si>
    <t>Kammi Aziz</t>
  </si>
  <si>
    <t>4C Topsia 1st lane Kol- 39</t>
  </si>
  <si>
    <t>PUNB0091520</t>
  </si>
  <si>
    <t xml:space="preserve">To do own community work </t>
  </si>
  <si>
    <t xml:space="preserve">Residensial training it self a challlenge </t>
  </si>
  <si>
    <t>WB/SK/2024/14</t>
  </si>
  <si>
    <t>Sweety Kumari Shaw</t>
  </si>
  <si>
    <t>30/8/1999</t>
  </si>
  <si>
    <t>42/A Pulin Khatick Road</t>
  </si>
  <si>
    <r>
      <t>sweetyshaw9999997@g,</t>
    </r>
    <r>
      <rPr>
        <u/>
        <sz val="10"/>
        <color rgb="FF1155CC"/>
        <rFont val="Arial"/>
      </rPr>
      <t>mail.com</t>
    </r>
  </si>
  <si>
    <t>Karnataka Bank</t>
  </si>
  <si>
    <t>4382500101407001</t>
  </si>
  <si>
    <t xml:space="preserve">Beliaghata </t>
  </si>
  <si>
    <t>KARB0000438</t>
  </si>
  <si>
    <t>To underestand social work process</t>
  </si>
  <si>
    <t>WB/NK/2024/15</t>
  </si>
  <si>
    <t xml:space="preserve">Banani Pathak </t>
  </si>
  <si>
    <t>20/12/1987</t>
  </si>
  <si>
    <t>Banitala Haora WB 711316</t>
  </si>
  <si>
    <t>UCO Bank</t>
  </si>
  <si>
    <t>Banitabala</t>
  </si>
  <si>
    <t>UCBA0000416</t>
  </si>
  <si>
    <t xml:space="preserve">Supprt my family financially </t>
  </si>
  <si>
    <t xml:space="preserve">Night stay outside  of family it a challenge for me </t>
  </si>
  <si>
    <t xml:space="preserve">To do under a fixed job </t>
  </si>
  <si>
    <t>WB/NK/2024/16</t>
  </si>
  <si>
    <t>Shama Parveen</t>
  </si>
  <si>
    <t>2/1/H/9 Narkeldanga Main Road Kol 11</t>
  </si>
  <si>
    <t>parveenshama241@gmail.com</t>
  </si>
  <si>
    <t>Post Graduate</t>
  </si>
  <si>
    <t>Thoughtshop</t>
  </si>
  <si>
    <t>To gain new knowledge</t>
  </si>
  <si>
    <t>No Problem</t>
  </si>
  <si>
    <t>To work as facilitator in NGO</t>
  </si>
  <si>
    <t>WB/NK/2024/17</t>
  </si>
  <si>
    <t>Tarannum Khatoon</t>
  </si>
  <si>
    <t>21/01/2002</t>
  </si>
  <si>
    <t>35 DC DEY Road Tangra Kol-15</t>
  </si>
  <si>
    <t>Panjab &amp; Sind Bank</t>
  </si>
  <si>
    <t>Matheswatala</t>
  </si>
  <si>
    <t>PSIB0000629</t>
  </si>
  <si>
    <t xml:space="preserve">Kolkata Resque </t>
  </si>
  <si>
    <t xml:space="preserve">Self </t>
  </si>
  <si>
    <t xml:space="preserve">Family Restriction </t>
  </si>
  <si>
    <t>WB/NK/2024/18</t>
  </si>
  <si>
    <t xml:space="preserve">Suraiya Bano </t>
  </si>
  <si>
    <t>11, Meher Ali Lane Tangra Kol-15</t>
  </si>
  <si>
    <t>Debedra Chandra Dey Road</t>
  </si>
  <si>
    <t>Sister</t>
  </si>
  <si>
    <t xml:space="preserve">To know about women empowerment </t>
  </si>
  <si>
    <t xml:space="preserve">No Challenge </t>
  </si>
  <si>
    <t>WB/NK/2024/19</t>
  </si>
  <si>
    <t>Gulafsha Parveen</t>
  </si>
  <si>
    <t>24/5/2000</t>
  </si>
  <si>
    <t>Rajarhat, North 24 Parganas WB700135</t>
  </si>
  <si>
    <t xml:space="preserve">Rajarhat Indiranagar </t>
  </si>
  <si>
    <t>BARB0DBRAJR</t>
  </si>
  <si>
    <t xml:space="preserve">Sister </t>
  </si>
  <si>
    <t>No challege</t>
  </si>
  <si>
    <t xml:space="preserve">Social Worker </t>
  </si>
  <si>
    <t>WB/NK/2024/20</t>
  </si>
  <si>
    <t xml:space="preserve">Shabana Khatoon </t>
  </si>
  <si>
    <t>19/10/2005</t>
  </si>
  <si>
    <t>4/H/2/7 Convent lane 700015</t>
  </si>
  <si>
    <t xml:space="preserve">CIT Road </t>
  </si>
  <si>
    <t>SBIN0001140</t>
  </si>
  <si>
    <t>Understand the process of community work</t>
  </si>
  <si>
    <t xml:space="preserve">Family restiction </t>
  </si>
  <si>
    <t xml:space="preserve">Artist </t>
  </si>
  <si>
    <t>WB/NK/2024/21</t>
  </si>
  <si>
    <t xml:space="preserve">Arfa Ahmed </t>
  </si>
  <si>
    <t>31, GJ Khan Road , Tiljala South 24 parganas WB700039</t>
  </si>
  <si>
    <t>Single</t>
  </si>
  <si>
    <t>HDFC</t>
  </si>
  <si>
    <t xml:space="preserve">Rajarhat </t>
  </si>
  <si>
    <t>HDFC0002058</t>
  </si>
  <si>
    <t xml:space="preserve">Friend </t>
  </si>
  <si>
    <t xml:space="preserve">To gain new knowledge </t>
  </si>
  <si>
    <t xml:space="preserve">Brother is staying alone at home is  a problem  </t>
  </si>
  <si>
    <t xml:space="preserve">Work as social worker </t>
  </si>
  <si>
    <t>WB/NK/2024/22</t>
  </si>
  <si>
    <t xml:space="preserve">Sagufta Sahin </t>
  </si>
  <si>
    <t>16/11/1999</t>
  </si>
  <si>
    <t>43/B Topsia Road Kol700039</t>
  </si>
  <si>
    <t>Topsia</t>
  </si>
  <si>
    <t xml:space="preserve">Aradhana </t>
  </si>
  <si>
    <t xml:space="preserve">Family </t>
  </si>
  <si>
    <t xml:space="preserve">Residensial Training its a challenge </t>
  </si>
  <si>
    <t>To help people also independent financially</t>
  </si>
  <si>
    <t>WB/NK/2024/23</t>
  </si>
  <si>
    <t>Shamina Begum</t>
  </si>
  <si>
    <t>22/06/1990</t>
  </si>
  <si>
    <t>42F Tiljala Road 46</t>
  </si>
  <si>
    <t xml:space="preserve">Gora Chand Road </t>
  </si>
  <si>
    <t>SBIN0008581</t>
  </si>
  <si>
    <t>NGO</t>
  </si>
  <si>
    <t xml:space="preserve">To create own identity </t>
  </si>
  <si>
    <t>Social worker</t>
  </si>
  <si>
    <t>WB/NK/2024/ 24</t>
  </si>
  <si>
    <t>Majda 
 Khatoon</t>
  </si>
  <si>
    <t>19 Topsia 2nd lane Kol-39</t>
  </si>
  <si>
    <t>Husband</t>
  </si>
  <si>
    <t xml:space="preserve">To gain someting new </t>
  </si>
  <si>
    <t xml:space="preserve">4-5 days staying outside of home is challenge </t>
  </si>
  <si>
    <t xml:space="preserve">To involved in job </t>
  </si>
  <si>
    <t>WB/NK/2024/25</t>
  </si>
  <si>
    <t>Rabina Khatoon</t>
  </si>
  <si>
    <t xml:space="preserve">5/P/1 Subgachi 1st lane Tiljala </t>
  </si>
  <si>
    <t xml:space="preserve">Bose Pukur Rajdanga </t>
  </si>
  <si>
    <t>PUNB0095520</t>
  </si>
  <si>
    <t xml:space="preserve">How to talk with comminity people </t>
  </si>
  <si>
    <t>Family Responsibility</t>
  </si>
  <si>
    <t>WB/NK/2024/26</t>
  </si>
  <si>
    <t>Nabira Khatoon</t>
  </si>
  <si>
    <t>23/12/1983</t>
  </si>
  <si>
    <t xml:space="preserve">7/1 Brick Field lane Tiljala </t>
  </si>
  <si>
    <t>Federal Bank</t>
  </si>
  <si>
    <t>FDRL0001237</t>
  </si>
  <si>
    <t xml:space="preserve">Residential training it self a challange </t>
  </si>
  <si>
    <t xml:space="preserve">To be an independet women </t>
  </si>
  <si>
    <t>WB/NK/2024/27</t>
  </si>
  <si>
    <t>Komal Sah</t>
  </si>
  <si>
    <t xml:space="preserve">17No Kanel South Road </t>
  </si>
  <si>
    <t xml:space="preserve">Tangra Panchnantala </t>
  </si>
  <si>
    <t>Mother and Father</t>
  </si>
  <si>
    <t xml:space="preserve">I want to work in NGO </t>
  </si>
  <si>
    <t>WB/NK/2024/28</t>
  </si>
  <si>
    <t>Puja Das</t>
  </si>
  <si>
    <t>11/1 South Tangra Road Kol46</t>
  </si>
  <si>
    <t>Kotak</t>
  </si>
  <si>
    <t>KKBK0000811</t>
  </si>
  <si>
    <t>No problem</t>
  </si>
  <si>
    <t>I want to work with Azad foundation</t>
  </si>
  <si>
    <t>2025-26</t>
  </si>
  <si>
    <t>Batch 6</t>
  </si>
  <si>
    <t xml:space="preserve">Number Acheived 
26
</t>
  </si>
  <si>
    <t>WB/SK/2025/1</t>
  </si>
  <si>
    <t xml:space="preserve">Tamanna Parveen </t>
  </si>
  <si>
    <t>31.3.2004</t>
  </si>
  <si>
    <t>53/6 GJ Khan road kolkata 39</t>
  </si>
  <si>
    <t>PNB</t>
  </si>
  <si>
    <t>PUNB0037520</t>
  </si>
  <si>
    <t xml:space="preserve">Financial Support, </t>
  </si>
  <si>
    <t>Nothing</t>
  </si>
  <si>
    <t xml:space="preserve">Self Dependent </t>
  </si>
  <si>
    <t>WB/SK/2025/2</t>
  </si>
  <si>
    <t>Bithika Biswas</t>
  </si>
  <si>
    <t>26.8.1991</t>
  </si>
  <si>
    <t>Sonarpur Ghasiyara Madhabpur</t>
  </si>
  <si>
    <t>Any Other</t>
  </si>
  <si>
    <t xml:space="preserve">friend of an alumuni leader </t>
  </si>
  <si>
    <t>Ghasiara</t>
  </si>
  <si>
    <t>PNUB0151820</t>
  </si>
  <si>
    <t xml:space="preserve">Receptinist </t>
  </si>
  <si>
    <t>Mother and Sister</t>
  </si>
  <si>
    <t>Want to work with any Ngo,</t>
  </si>
  <si>
    <t xml:space="preserve">Financial Dependent </t>
  </si>
  <si>
    <t>WB/SK/2025/3</t>
  </si>
  <si>
    <t xml:space="preserve">Nafisa Ali </t>
  </si>
  <si>
    <t>26.4.20024</t>
  </si>
  <si>
    <t>64 H /6 Broad ST kolkata 19</t>
  </si>
  <si>
    <t>Community Meetings</t>
  </si>
  <si>
    <t>Azad Kishori</t>
  </si>
  <si>
    <t xml:space="preserve">Broad Street </t>
  </si>
  <si>
    <t>PUNB0051720</t>
  </si>
  <si>
    <t xml:space="preserve">To learn new thing </t>
  </si>
  <si>
    <t xml:space="preserve">Nothing </t>
  </si>
  <si>
    <t>WB/SK/2025/4</t>
  </si>
  <si>
    <t>Soma Naskar</t>
  </si>
  <si>
    <t xml:space="preserve">01.07.1986 </t>
  </si>
  <si>
    <t>Dhakuriya 15/1E Kalanpur lane Kol-31</t>
  </si>
  <si>
    <t xml:space="preserve">SBI </t>
  </si>
  <si>
    <t>Accounts</t>
  </si>
  <si>
    <t xml:space="preserve">Mother in law $ Husband </t>
  </si>
  <si>
    <t>WB/SK/2025/5</t>
  </si>
  <si>
    <t xml:space="preserve">Shenaz Khatoon </t>
  </si>
  <si>
    <t>31.5.2005</t>
  </si>
  <si>
    <t>59 Tiljala Road Kol-39</t>
  </si>
  <si>
    <t>Goriahat</t>
  </si>
  <si>
    <t>PUNB0009220</t>
  </si>
  <si>
    <t xml:space="preserve">To learn some thing new, financial support </t>
  </si>
  <si>
    <t>WB/SK/2025/6</t>
  </si>
  <si>
    <t xml:space="preserve">Devjani Paik </t>
  </si>
  <si>
    <t>31.12.1999</t>
  </si>
  <si>
    <t>Shivami, Goriya</t>
  </si>
  <si>
    <t xml:space="preserve">Indian Bank </t>
  </si>
  <si>
    <t xml:space="preserve">Goriya </t>
  </si>
  <si>
    <t>IDIB000G071</t>
  </si>
  <si>
    <t>Shop</t>
  </si>
  <si>
    <t>Father &amp; Mother</t>
  </si>
  <si>
    <t>Lawyer</t>
  </si>
  <si>
    <t>WB/SK/2025/7</t>
  </si>
  <si>
    <t xml:space="preserve">Madhabi Haldar </t>
  </si>
  <si>
    <t>01.01.1985</t>
  </si>
  <si>
    <t>Soinarpur Khurigachi Kol150</t>
  </si>
  <si>
    <t xml:space="preserve">Allahabad Bank </t>
  </si>
  <si>
    <t xml:space="preserve">Khurigachi </t>
  </si>
  <si>
    <t>IDIB000K713</t>
  </si>
  <si>
    <t xml:space="preserve">canteen </t>
  </si>
  <si>
    <t xml:space="preserve">Want to learn field work </t>
  </si>
  <si>
    <t xml:space="preserve">Field worker </t>
  </si>
  <si>
    <t>WB/SK/2025/8</t>
  </si>
  <si>
    <t xml:space="preserve">Dolly Roy </t>
  </si>
  <si>
    <t>15.07.1983</t>
  </si>
  <si>
    <t xml:space="preserve">19B Ganesh Ghosh Lane </t>
  </si>
  <si>
    <t>BOI</t>
  </si>
  <si>
    <t>Tiljala</t>
  </si>
  <si>
    <t>BKID0004046</t>
  </si>
  <si>
    <t xml:space="preserve">CINI Asha </t>
  </si>
  <si>
    <t xml:space="preserve">Learn new experiance , Financial Support </t>
  </si>
  <si>
    <t>WB/SK/2025/9</t>
  </si>
  <si>
    <t xml:space="preserve">Chumki Mondal </t>
  </si>
  <si>
    <t>05.12.1991</t>
  </si>
  <si>
    <t xml:space="preserve">Hasanpur , Sonarpur </t>
  </si>
  <si>
    <t xml:space="preserve">UCO bank </t>
  </si>
  <si>
    <t xml:space="preserve">Sister in law </t>
  </si>
  <si>
    <t>WB/SK/2025/10</t>
  </si>
  <si>
    <t xml:space="preserve">Tanushree Chattapadyay </t>
  </si>
  <si>
    <t>01.01.1987</t>
  </si>
  <si>
    <t xml:space="preserve">16B Rai chran Ghosh Lane picnic Gurden </t>
  </si>
  <si>
    <t>Son</t>
  </si>
  <si>
    <t>WB/SK/2025/11</t>
  </si>
  <si>
    <t xml:space="preserve">Kainath Khatoon </t>
  </si>
  <si>
    <t>19.04.2000</t>
  </si>
  <si>
    <t>59 Tijala Rora Kol 39</t>
  </si>
  <si>
    <t xml:space="preserve">To know about social work </t>
  </si>
  <si>
    <t>WB/SK/2025/12</t>
  </si>
  <si>
    <t xml:space="preserve">Monalisha Midde </t>
  </si>
  <si>
    <t>12.11.2004</t>
  </si>
  <si>
    <t xml:space="preserve">Subhashgram Chanditala Sporting Club </t>
  </si>
  <si>
    <t>WB/SK/2025/13</t>
  </si>
  <si>
    <t xml:space="preserve">Nasima Khatoon </t>
  </si>
  <si>
    <t>04.05.2004</t>
  </si>
  <si>
    <t>2/2 Tiljala Road Kolkata 46</t>
  </si>
  <si>
    <t xml:space="preserve">Want complet education </t>
  </si>
  <si>
    <t>WB/NK/2025/14</t>
  </si>
  <si>
    <t xml:space="preserve">Firdos  Khatoon </t>
  </si>
  <si>
    <t>14.04.2004</t>
  </si>
  <si>
    <t>3/1 GJ Khan Road Kol-39</t>
  </si>
  <si>
    <t>Aradhana</t>
  </si>
  <si>
    <t>WB/NK/2025/15</t>
  </si>
  <si>
    <t xml:space="preserve">Shajda Khatoon </t>
  </si>
  <si>
    <t>21.10.2003</t>
  </si>
  <si>
    <t>3/1 GJ Khan Road Kol-40</t>
  </si>
  <si>
    <t>Learn new experiance</t>
  </si>
  <si>
    <t>WB/NK/2025/16</t>
  </si>
  <si>
    <t xml:space="preserve">Sahnaz Parveen </t>
  </si>
  <si>
    <t>10.05.1996</t>
  </si>
  <si>
    <t>3 No Jannagar Road Kol-17</t>
  </si>
  <si>
    <t xml:space="preserve">Learn New Experiance </t>
  </si>
  <si>
    <t>WB/NK/2025/17</t>
  </si>
  <si>
    <t xml:space="preserve">Shama Parween </t>
  </si>
  <si>
    <t>10.12.1994</t>
  </si>
  <si>
    <t xml:space="preserve">GJ Khan Road </t>
  </si>
  <si>
    <t>WB/NK/2025/18</t>
  </si>
  <si>
    <t xml:space="preserve">Nafisa Nousad </t>
  </si>
  <si>
    <t>20.03.2005</t>
  </si>
  <si>
    <t xml:space="preserve">30B GJ khan Road </t>
  </si>
  <si>
    <t xml:space="preserve">Complete education </t>
  </si>
  <si>
    <t>WB/NK/2025/19</t>
  </si>
  <si>
    <t>Jarina Khatoon</t>
  </si>
  <si>
    <t>29.08.2003</t>
  </si>
  <si>
    <t>66 DC Dey Road Kolkata 15</t>
  </si>
  <si>
    <t>2nd year BA (Evening)</t>
  </si>
  <si>
    <t>NYKS</t>
  </si>
  <si>
    <t xml:space="preserve">Sis </t>
  </si>
  <si>
    <t xml:space="preserve">Higher education </t>
  </si>
  <si>
    <t>WB/NK/2025/20</t>
  </si>
  <si>
    <t xml:space="preserve">Nursaba Bano </t>
  </si>
  <si>
    <t>25.7.2005</t>
  </si>
  <si>
    <t xml:space="preserve">World vision </t>
  </si>
  <si>
    <t xml:space="preserve">Mother Father </t>
  </si>
  <si>
    <t xml:space="preserve">Want to work with NGO </t>
  </si>
  <si>
    <t>WB/NK/2025/21</t>
  </si>
  <si>
    <t xml:space="preserve">Shahin Khatoon </t>
  </si>
  <si>
    <t>28.09.2005</t>
  </si>
  <si>
    <t>WB/NK/2025/22</t>
  </si>
  <si>
    <t xml:space="preserve">Sarada Das </t>
  </si>
  <si>
    <t>15.7.1990</t>
  </si>
  <si>
    <t>9 Canel South Road Kol-15</t>
  </si>
  <si>
    <t>Seva Kendra</t>
  </si>
  <si>
    <t>Sis Mother</t>
  </si>
  <si>
    <t>WB/NK/2025/23</t>
  </si>
  <si>
    <t xml:space="preserve">Saheen Parveen </t>
  </si>
  <si>
    <t>01.05.1992</t>
  </si>
  <si>
    <t xml:space="preserve">3/3A /H/19/4 Nakeldanga </t>
  </si>
  <si>
    <t xml:space="preserve">Roshni </t>
  </si>
  <si>
    <t>WB/NK/2025/24</t>
  </si>
  <si>
    <t xml:space="preserve">Muskan Khatoon </t>
  </si>
  <si>
    <t>5.3.2006</t>
  </si>
  <si>
    <t>36 DC Dey Road Kol:15</t>
  </si>
  <si>
    <t>WB/NK/2025/25</t>
  </si>
  <si>
    <t xml:space="preserve">Reswana Rounak </t>
  </si>
  <si>
    <t>25.11.1995</t>
  </si>
  <si>
    <t xml:space="preserve">3B/H/11 Gass Street </t>
  </si>
  <si>
    <t>WB/NK/2025/26</t>
  </si>
  <si>
    <t xml:space="preserve">Neha Parveen </t>
  </si>
  <si>
    <t>15.11.1995</t>
  </si>
  <si>
    <t xml:space="preserve">53/6 GJ khan Road </t>
  </si>
  <si>
    <t xml:space="preserve">Father &amp; </t>
  </si>
  <si>
    <t>Enrolment number</t>
  </si>
  <si>
    <t>Name of the Leader</t>
  </si>
  <si>
    <t xml:space="preserve">1. Name of the family member who is primary wage earner in the family </t>
  </si>
  <si>
    <t>Relation to the leader</t>
  </si>
  <si>
    <t>Age of the primary wage earner in the family</t>
  </si>
  <si>
    <t>Education</t>
  </si>
  <si>
    <t xml:space="preserve">Occupation </t>
  </si>
  <si>
    <t>Monthly Income</t>
  </si>
  <si>
    <t>2. Name of the family member</t>
  </si>
  <si>
    <t>Age</t>
  </si>
  <si>
    <t>Occupation (if studying put student)</t>
  </si>
  <si>
    <t>Name of the family member</t>
  </si>
  <si>
    <t>Relation</t>
  </si>
  <si>
    <t xml:space="preserve">Name of the family member </t>
  </si>
  <si>
    <t>MEHZABEEN AKHTER</t>
  </si>
  <si>
    <t>HALIMA BEGUM</t>
  </si>
  <si>
    <t>KAMNI AZIZ</t>
  </si>
  <si>
    <t>TARANNUM AZIZ</t>
  </si>
  <si>
    <t>MD.RAJ</t>
  </si>
  <si>
    <t>ARUN MONDAL</t>
  </si>
  <si>
    <t>MALATI MONDAL</t>
  </si>
  <si>
    <t>AMIT MONDAL</t>
  </si>
  <si>
    <t>RUBI BAURI</t>
  </si>
  <si>
    <t>AKASH BAURI</t>
  </si>
  <si>
    <t>GABRIEL MATTHEW JOHNSON</t>
  </si>
  <si>
    <t>BHARATI JOHNSON</t>
  </si>
  <si>
    <t>KRISHNA HALDER</t>
  </si>
  <si>
    <t>ARABINDA HALDER</t>
  </si>
  <si>
    <t>RANJIT PATRA</t>
  </si>
  <si>
    <t>PARBATI PATRA</t>
  </si>
  <si>
    <t>ASIT PATRA</t>
  </si>
  <si>
    <t>SUBRATA MONDAL</t>
  </si>
  <si>
    <t>SOUMYAJIT MONDAL</t>
  </si>
  <si>
    <t>SOUMPRIYA MONDAL</t>
  </si>
  <si>
    <t>BISWAJIT PATRA</t>
  </si>
  <si>
    <t>MD.KAMAL HASAN</t>
  </si>
  <si>
    <t>ZIYA PARVEEN</t>
  </si>
  <si>
    <t>MD.KABIR</t>
  </si>
  <si>
    <t>ASHIS MONDAL</t>
  </si>
  <si>
    <t>CHANDA MONDAL</t>
  </si>
  <si>
    <t>SUBHASISH MONDAL</t>
  </si>
  <si>
    <t>MD.SHAHJAHAN</t>
  </si>
  <si>
    <t>LADLI KHATOON</t>
  </si>
  <si>
    <t>MD.SHARAK</t>
  </si>
  <si>
    <t>AAISHA PARVEEN</t>
  </si>
  <si>
    <t>SAINA KHATOON</t>
  </si>
  <si>
    <t>MD.AAYAT</t>
  </si>
  <si>
    <t>MD.MOINUDDIN</t>
  </si>
  <si>
    <t>SAMIN BANU</t>
  </si>
  <si>
    <t>TUBA FATMA</t>
  </si>
  <si>
    <t>AYESA FATMA</t>
  </si>
  <si>
    <t>AKSHA FATMA</t>
  </si>
  <si>
    <t>HAMIDA KHATOON</t>
  </si>
  <si>
    <t>AFSAR ALI</t>
  </si>
  <si>
    <t>AKHTARI BEGUM</t>
  </si>
  <si>
    <t>NAZRA BANO</t>
  </si>
  <si>
    <t>NADRA BANO</t>
  </si>
  <si>
    <t>ISHRAT PARVEEN</t>
  </si>
  <si>
    <t>NAZMEEN</t>
  </si>
  <si>
    <t>ARFA PARVEEN</t>
  </si>
  <si>
    <t>FAZILATH HUSSAIN</t>
  </si>
  <si>
    <t>MD.ALAMGIR</t>
  </si>
  <si>
    <t>BIKI DAS</t>
  </si>
  <si>
    <t>SANJIB MONDAL</t>
  </si>
  <si>
    <t>MOUSUMI MONDAL</t>
  </si>
  <si>
    <t>DONA MONDAL</t>
  </si>
  <si>
    <t>AKBAR ALI</t>
  </si>
  <si>
    <t>SEEMA BIBI</t>
  </si>
  <si>
    <t>KANIZ FATMA</t>
  </si>
  <si>
    <t>ROZI KHATOON</t>
  </si>
  <si>
    <t>SAMIR ALI</t>
  </si>
  <si>
    <t>AMIR ALI</t>
  </si>
  <si>
    <t>PARUL ROY</t>
  </si>
  <si>
    <t>TAPAS ROY</t>
  </si>
  <si>
    <t>KARUA BHUIA</t>
  </si>
  <si>
    <t>BASANTI BHUIA</t>
  </si>
  <si>
    <t>ABHAY BHUIA</t>
  </si>
  <si>
    <t>GOURI BHUIA</t>
  </si>
  <si>
    <t>OMPRAKASH PODDAR</t>
  </si>
  <si>
    <t>DIPMALA PODDAR</t>
  </si>
  <si>
    <t>ABHISHEK PODDAR</t>
  </si>
  <si>
    <t>ANIMESH PODDAR</t>
  </si>
  <si>
    <t>DANISHTA AHMED</t>
  </si>
  <si>
    <t>AKSHA AHMED</t>
  </si>
  <si>
    <t>AIZAH AHMED</t>
  </si>
  <si>
    <t>BALAI DAS</t>
  </si>
  <si>
    <t>SANDHYA DAS</t>
  </si>
  <si>
    <t>RAHUL DAS</t>
  </si>
  <si>
    <t xml:space="preserve">Rahu Das </t>
  </si>
  <si>
    <t>Class 7</t>
  </si>
  <si>
    <t xml:space="preserve">Driver </t>
  </si>
  <si>
    <t xml:space="preserve">Kedar Das </t>
  </si>
  <si>
    <t xml:space="preserve">Father in Law </t>
  </si>
  <si>
    <t>-</t>
  </si>
  <si>
    <t xml:space="preserve">Mason </t>
  </si>
  <si>
    <t xml:space="preserve">Kamli Das </t>
  </si>
  <si>
    <t>class 4</t>
  </si>
  <si>
    <t xml:space="preserve">Prachi Das </t>
  </si>
  <si>
    <t xml:space="preserve">Nice </t>
  </si>
  <si>
    <t xml:space="preserve">Monti Devi </t>
  </si>
  <si>
    <t xml:space="preserve">House Keeping </t>
  </si>
  <si>
    <t>Krishna Bhuiya</t>
  </si>
  <si>
    <t xml:space="preserve">Brother </t>
  </si>
  <si>
    <t>class 10</t>
  </si>
  <si>
    <t xml:space="preserve">Studying </t>
  </si>
  <si>
    <t xml:space="preserve">Nabi Hussain </t>
  </si>
  <si>
    <t xml:space="preserve">Electrician </t>
  </si>
  <si>
    <t xml:space="preserve">Zahida Begum </t>
  </si>
  <si>
    <t>class 5</t>
  </si>
  <si>
    <t xml:space="preserve">Noor Elahi </t>
  </si>
  <si>
    <t xml:space="preserve">BSc </t>
  </si>
  <si>
    <t xml:space="preserve">Rohit Shaw </t>
  </si>
  <si>
    <t xml:space="preserve">Sales Man  </t>
  </si>
  <si>
    <t>Rabin Sardar</t>
  </si>
  <si>
    <t xml:space="preserve">Father </t>
  </si>
  <si>
    <t>Class 5</t>
  </si>
  <si>
    <t xml:space="preserve">Riksha Driver </t>
  </si>
  <si>
    <t xml:space="preserve">Ditya Shaw </t>
  </si>
  <si>
    <t xml:space="preserve">Doughter </t>
  </si>
  <si>
    <t xml:space="preserve">Class2 </t>
  </si>
  <si>
    <t xml:space="preserve">Rohini Shaw </t>
  </si>
  <si>
    <t>Doughter</t>
  </si>
  <si>
    <t xml:space="preserve">Sujit Mondal </t>
  </si>
  <si>
    <t>Bag Maker</t>
  </si>
  <si>
    <t xml:space="preserve">Subho Mondal </t>
  </si>
  <si>
    <t>Spn</t>
  </si>
  <si>
    <t>Class 10</t>
  </si>
  <si>
    <t xml:space="preserve">studying </t>
  </si>
  <si>
    <t xml:space="preserve">Arpita Mondal </t>
  </si>
  <si>
    <t>class 8</t>
  </si>
  <si>
    <t xml:space="preserve">Asha Devi </t>
  </si>
  <si>
    <t>Tea shop</t>
  </si>
  <si>
    <t xml:space="preserve">Gunkan Shah </t>
  </si>
  <si>
    <t>class 10th</t>
  </si>
  <si>
    <t xml:space="preserve">Sudha Sah </t>
  </si>
  <si>
    <t>Class 8</t>
  </si>
  <si>
    <t xml:space="preserve">Masala packing </t>
  </si>
  <si>
    <t xml:space="preserve">Rahul Sah </t>
  </si>
  <si>
    <t>Nephew</t>
  </si>
  <si>
    <t xml:space="preserve">BA </t>
  </si>
  <si>
    <t xml:space="preserve">Rohit Sah </t>
  </si>
  <si>
    <t xml:space="preserve">Nephew </t>
  </si>
  <si>
    <t>BA</t>
  </si>
  <si>
    <t xml:space="preserve">Rishav Sah </t>
  </si>
  <si>
    <t xml:space="preserve">Akash Mallik </t>
  </si>
  <si>
    <t xml:space="preserve">Diver </t>
  </si>
  <si>
    <t xml:space="preserve">Arnab Mallick </t>
  </si>
  <si>
    <t xml:space="preserve">Son </t>
  </si>
  <si>
    <t>class 1</t>
  </si>
  <si>
    <t xml:space="preserve">Md Irshad </t>
  </si>
  <si>
    <t>class 9</t>
  </si>
  <si>
    <t xml:space="preserve">Shoetailour </t>
  </si>
  <si>
    <t xml:space="preserve">Md Yusuf </t>
  </si>
  <si>
    <t xml:space="preserve">father </t>
  </si>
  <si>
    <t xml:space="preserve">Ruksana Khatoon </t>
  </si>
  <si>
    <t xml:space="preserve">mother </t>
  </si>
  <si>
    <t xml:space="preserve">Rajat Rauth </t>
  </si>
  <si>
    <t xml:space="preserve">HS </t>
  </si>
  <si>
    <t>Daily Labour</t>
  </si>
  <si>
    <t xml:space="preserve">Rushnk Rauth </t>
  </si>
  <si>
    <t xml:space="preserve">1yr 4mn </t>
  </si>
  <si>
    <t xml:space="preserve">Amarjit Kumar </t>
  </si>
  <si>
    <t xml:space="preserve">12th pass </t>
  </si>
  <si>
    <t xml:space="preserve">Delivery </t>
  </si>
  <si>
    <t xml:space="preserve">Sakaldeep Mahato </t>
  </si>
  <si>
    <t xml:space="preserve">Phulkumari Devi </t>
  </si>
  <si>
    <t xml:space="preserve">Sanjar Husain </t>
  </si>
  <si>
    <t xml:space="preserve">Take care of Paitents </t>
  </si>
  <si>
    <t xml:space="preserve">Sabnam Parveen </t>
  </si>
  <si>
    <t xml:space="preserve">Sk Dulara </t>
  </si>
  <si>
    <t xml:space="preserve">Sk Attaula </t>
  </si>
  <si>
    <t>Class 4</t>
  </si>
  <si>
    <t xml:space="preserve">Sk Shajahan </t>
  </si>
  <si>
    <t>Furniture work</t>
  </si>
  <si>
    <t xml:space="preserve">Falaq Rahaman </t>
  </si>
  <si>
    <t xml:space="preserve">Class 3 </t>
  </si>
  <si>
    <t xml:space="preserve">Manoj Prasad Shaw </t>
  </si>
  <si>
    <t xml:space="preserve">Business </t>
  </si>
  <si>
    <t xml:space="preserve">Chanda Shaw </t>
  </si>
  <si>
    <t xml:space="preserve">Sunil Shaw </t>
  </si>
  <si>
    <t xml:space="preserve">Graduation </t>
  </si>
  <si>
    <t xml:space="preserve">Accot </t>
  </si>
  <si>
    <t xml:space="preserve">Sujit Shaw </t>
  </si>
  <si>
    <t>HS</t>
  </si>
  <si>
    <t xml:space="preserve">Swapan Pathak </t>
  </si>
  <si>
    <t xml:space="preserve">Salesman </t>
  </si>
  <si>
    <t xml:space="preserve">Ankita Pathak </t>
  </si>
  <si>
    <t xml:space="preserve">Daughter </t>
  </si>
  <si>
    <t>Class 9</t>
  </si>
  <si>
    <t xml:space="preserve">Manju Pathak </t>
  </si>
  <si>
    <t xml:space="preserve">Mallika Khan </t>
  </si>
  <si>
    <t>Class 53</t>
  </si>
  <si>
    <t>Bikram Khan</t>
  </si>
  <si>
    <t xml:space="preserve">Mustari Begum </t>
  </si>
  <si>
    <t xml:space="preserve">Md Mukhtar </t>
  </si>
  <si>
    <t xml:space="preserve">Md Hiyaz </t>
  </si>
  <si>
    <t>Envolop Labour</t>
  </si>
  <si>
    <t xml:space="preserve">Md Nihal </t>
  </si>
  <si>
    <t>Class 12</t>
  </si>
  <si>
    <t xml:space="preserve">Paper Paste job </t>
  </si>
  <si>
    <t xml:space="preserve">Md Nurodam </t>
  </si>
  <si>
    <t xml:space="preserve">Farhin Jaha </t>
  </si>
  <si>
    <t xml:space="preserve">Fgarha Jaha </t>
  </si>
  <si>
    <t xml:space="preserve">Class 12th </t>
  </si>
  <si>
    <t xml:space="preserve">Naim Khan </t>
  </si>
  <si>
    <t xml:space="preserve">Vender </t>
  </si>
  <si>
    <t xml:space="preserve">Hasina Bano </t>
  </si>
  <si>
    <t xml:space="preserve">Domestic Worker </t>
  </si>
  <si>
    <t xml:space="preserve">Ayesha Khatun </t>
  </si>
  <si>
    <t xml:space="preserve">Nujhat Khatun </t>
  </si>
  <si>
    <t xml:space="preserve">Sana Ansari </t>
  </si>
  <si>
    <t>class 2</t>
  </si>
  <si>
    <t xml:space="preserve">Shamad Ansari </t>
  </si>
  <si>
    <t xml:space="preserve">Nephen </t>
  </si>
  <si>
    <t xml:space="preserve">Asgari Bibi </t>
  </si>
  <si>
    <t xml:space="preserve">Shoe Worker </t>
  </si>
  <si>
    <t xml:space="preserve">Md Yusuf Ali </t>
  </si>
  <si>
    <t xml:space="preserve">Plastic </t>
  </si>
  <si>
    <t xml:space="preserve">Jenat Bano </t>
  </si>
  <si>
    <t>class 12</t>
  </si>
  <si>
    <t xml:space="preserve">Md Jahangir </t>
  </si>
  <si>
    <t>Md Zahid</t>
  </si>
  <si>
    <t>Class5</t>
  </si>
  <si>
    <t xml:space="preserve">Bag Maker </t>
  </si>
  <si>
    <t xml:space="preserve">Ishrat Jahan </t>
  </si>
  <si>
    <t>*-</t>
  </si>
  <si>
    <t>Md Salanddin</t>
  </si>
  <si>
    <t xml:space="preserve">Afsana Khatoon </t>
  </si>
  <si>
    <t>Shaheda Anjum</t>
  </si>
  <si>
    <t>Sisther</t>
  </si>
  <si>
    <t>class10</t>
  </si>
  <si>
    <t xml:space="preserve">Noida Anjum </t>
  </si>
  <si>
    <t>Saniya Anjum</t>
  </si>
  <si>
    <t>Class1</t>
  </si>
  <si>
    <t>Adil Arfan Ali</t>
  </si>
  <si>
    <t>Swiggy</t>
  </si>
  <si>
    <t xml:space="preserve">Farida Khatoon </t>
  </si>
  <si>
    <t>Tailor</t>
  </si>
  <si>
    <t xml:space="preserve">Md Salman </t>
  </si>
  <si>
    <t xml:space="preserve">2nd year </t>
  </si>
  <si>
    <t xml:space="preserve">Sainaz Fatma </t>
  </si>
  <si>
    <t>Aiman Zohara</t>
  </si>
  <si>
    <t xml:space="preserve">Md Firdose </t>
  </si>
  <si>
    <t xml:space="preserve">Daily labour </t>
  </si>
  <si>
    <t xml:space="preserve">Mahfooz Alam </t>
  </si>
  <si>
    <t xml:space="preserve">Beg Factory </t>
  </si>
  <si>
    <t xml:space="preserve">Sumaiya Khatoon </t>
  </si>
  <si>
    <t xml:space="preserve">Md Mus que Alam </t>
  </si>
  <si>
    <t xml:space="preserve">Md Akbar </t>
  </si>
  <si>
    <t xml:space="preserve">Arfa Khatoon </t>
  </si>
  <si>
    <t xml:space="preserve">MD Ali </t>
  </si>
  <si>
    <t xml:space="preserve">Abdul Belal </t>
  </si>
  <si>
    <t xml:space="preserve">Sadika Khatoon </t>
  </si>
  <si>
    <t xml:space="preserve">Abdul Khatoon </t>
  </si>
  <si>
    <t xml:space="preserve">Azma Bibi </t>
  </si>
  <si>
    <t xml:space="preserve">Suresh Sah </t>
  </si>
  <si>
    <t>Business</t>
  </si>
  <si>
    <t xml:space="preserve">Sobita Sah </t>
  </si>
  <si>
    <t xml:space="preserve">Kajal Sah </t>
  </si>
  <si>
    <t>Subham Sah</t>
  </si>
  <si>
    <t>class5</t>
  </si>
  <si>
    <t>Sujit Das</t>
  </si>
  <si>
    <t>Job</t>
  </si>
  <si>
    <t>Ipshita Das</t>
  </si>
  <si>
    <t>Class 6</t>
  </si>
  <si>
    <t xml:space="preserve">Radhika Das </t>
  </si>
  <si>
    <t>Class 2</t>
  </si>
  <si>
    <t>Anika Das</t>
  </si>
  <si>
    <t xml:space="preserve">Sultana Begum </t>
  </si>
  <si>
    <t>Domestic Worker</t>
  </si>
  <si>
    <t>Sk Tanveer</t>
  </si>
  <si>
    <t>Brother</t>
  </si>
  <si>
    <t>Worker</t>
  </si>
  <si>
    <t>Bhagyadhar Mondal</t>
  </si>
  <si>
    <t>Security guird</t>
  </si>
  <si>
    <t>Anjali Mondal</t>
  </si>
  <si>
    <t xml:space="preserve">Shrinika Biswas </t>
  </si>
  <si>
    <t>LN</t>
  </si>
  <si>
    <t xml:space="preserve">student </t>
  </si>
  <si>
    <t>Ismail Ali</t>
  </si>
  <si>
    <t xml:space="preserve">Shop </t>
  </si>
  <si>
    <t>Rani Brgum</t>
  </si>
  <si>
    <t xml:space="preserve">Cook </t>
  </si>
  <si>
    <t xml:space="preserve">Somnath Naskar </t>
  </si>
  <si>
    <t>Driver</t>
  </si>
  <si>
    <t xml:space="preserve">Haran Naskar </t>
  </si>
  <si>
    <t xml:space="preserve">Father in law </t>
  </si>
  <si>
    <t xml:space="preserve">Sumitra Naskar </t>
  </si>
  <si>
    <t>Care taker</t>
  </si>
  <si>
    <t xml:space="preserve">Subhangi Naskar </t>
  </si>
  <si>
    <t xml:space="preserve">studing </t>
  </si>
  <si>
    <t>Samikha Naskar Doughter</t>
  </si>
  <si>
    <t>KG 1</t>
  </si>
  <si>
    <t xml:space="preserve">Salma Begum </t>
  </si>
  <si>
    <t xml:space="preserve">Sk Sahil </t>
  </si>
  <si>
    <t xml:space="preserve">Worker </t>
  </si>
  <si>
    <t xml:space="preserve">Samima Begum </t>
  </si>
  <si>
    <t xml:space="preserve">Grand Mother </t>
  </si>
  <si>
    <t xml:space="preserve">Biren Paik </t>
  </si>
  <si>
    <t xml:space="preserve">Fruit shop </t>
  </si>
  <si>
    <t xml:space="preserve">Rabindra Paik </t>
  </si>
  <si>
    <t xml:space="preserve">Graduate </t>
  </si>
  <si>
    <t xml:space="preserve">Shopping Mall </t>
  </si>
  <si>
    <t xml:space="preserve">Malati Paik </t>
  </si>
  <si>
    <t xml:space="preserve">Sikanta Haldar </t>
  </si>
  <si>
    <t xml:space="preserve">Manisha Haldar </t>
  </si>
  <si>
    <t xml:space="preserve">Student </t>
  </si>
  <si>
    <t>Sanjit Shaw</t>
  </si>
  <si>
    <t xml:space="preserve">Raj Shaw </t>
  </si>
  <si>
    <t xml:space="preserve">Sampa Shaw </t>
  </si>
  <si>
    <t xml:space="preserve">BCOM </t>
  </si>
  <si>
    <t xml:space="preserve">Goutam Mondal </t>
  </si>
  <si>
    <t xml:space="preserve">Phone shop </t>
  </si>
  <si>
    <t xml:space="preserve">Akash Mondal </t>
  </si>
  <si>
    <t>Class9</t>
  </si>
  <si>
    <t xml:space="preserve">Sabita Haldar </t>
  </si>
  <si>
    <t>Self</t>
  </si>
  <si>
    <t>Anubhab Chottopadhay</t>
  </si>
  <si>
    <t xml:space="preserve">Kainath </t>
  </si>
  <si>
    <t xml:space="preserve">Manawar Hussain </t>
  </si>
  <si>
    <t xml:space="preserve">Rozi Begum </t>
  </si>
  <si>
    <t xml:space="preserve">Rumpa Midde </t>
  </si>
  <si>
    <t xml:space="preserve">Sirsa Midde </t>
  </si>
  <si>
    <t xml:space="preserve">Event </t>
  </si>
  <si>
    <t xml:space="preserve">Nasima </t>
  </si>
  <si>
    <t xml:space="preserve">MD Umar </t>
  </si>
  <si>
    <t xml:space="preserve">Carpenter </t>
  </si>
  <si>
    <t xml:space="preserve">Azina Bibi </t>
  </si>
  <si>
    <t xml:space="preserve">Taslima Khatoon </t>
  </si>
  <si>
    <t xml:space="preserve">Stiching </t>
  </si>
  <si>
    <t xml:space="preserve">Safina Khatoon </t>
  </si>
  <si>
    <t>Sis</t>
  </si>
  <si>
    <t xml:space="preserve">Sk Lal </t>
  </si>
  <si>
    <t>Class 1</t>
  </si>
  <si>
    <t xml:space="preserve">Moyna Bibi </t>
  </si>
  <si>
    <t xml:space="preserve">Domestic worker </t>
  </si>
  <si>
    <t xml:space="preserve">Sk Sulman </t>
  </si>
  <si>
    <t xml:space="preserve">Class7 </t>
  </si>
  <si>
    <t xml:space="preserve">Daily Labour </t>
  </si>
  <si>
    <t xml:space="preserve">Sk Rahman </t>
  </si>
  <si>
    <t xml:space="preserve">Bro </t>
  </si>
  <si>
    <t>Md Salim</t>
  </si>
  <si>
    <t xml:space="preserve">Lali Bibi </t>
  </si>
  <si>
    <t xml:space="preserve">Md Sulama </t>
  </si>
  <si>
    <t>Factory</t>
  </si>
  <si>
    <t xml:space="preserve">Yasmin Parveen </t>
  </si>
  <si>
    <t xml:space="preserve">Md Sahabaz </t>
  </si>
  <si>
    <t xml:space="preserve">bro </t>
  </si>
  <si>
    <t>Cls-6</t>
  </si>
  <si>
    <t>Student</t>
  </si>
  <si>
    <t xml:space="preserve">Md Subhan </t>
  </si>
  <si>
    <t xml:space="preserve">Nephu </t>
  </si>
  <si>
    <t xml:space="preserve">6mon </t>
  </si>
  <si>
    <t xml:space="preserve">Md Sajid </t>
  </si>
  <si>
    <t xml:space="preserve">Factory </t>
  </si>
  <si>
    <t xml:space="preserve">Md Abir </t>
  </si>
  <si>
    <t xml:space="preserve">Md Shamir </t>
  </si>
  <si>
    <t xml:space="preserve">Firoza Begum </t>
  </si>
  <si>
    <t xml:space="preserve">Ashiya Begum </t>
  </si>
  <si>
    <t xml:space="preserve">Bhabi </t>
  </si>
  <si>
    <t xml:space="preserve">Usafa </t>
  </si>
  <si>
    <t xml:space="preserve">5 yr </t>
  </si>
  <si>
    <t>Cls 1</t>
  </si>
  <si>
    <t xml:space="preserve">Sana Parveen </t>
  </si>
  <si>
    <t xml:space="preserve">3yr </t>
  </si>
  <si>
    <t xml:space="preserve">Md Muktar Ansari </t>
  </si>
  <si>
    <t>cook</t>
  </si>
  <si>
    <t xml:space="preserve">Md Mohtasim Kadri </t>
  </si>
  <si>
    <t xml:space="preserve">son </t>
  </si>
  <si>
    <t>Cls-1</t>
  </si>
  <si>
    <t xml:space="preserve">Md Mursalim </t>
  </si>
  <si>
    <t xml:space="preserve">Saira Begum </t>
  </si>
  <si>
    <t xml:space="preserve">Md Fanan </t>
  </si>
  <si>
    <t>Cls 3</t>
  </si>
  <si>
    <t xml:space="preserve">Jahangir Sk </t>
  </si>
  <si>
    <t>Clss-5</t>
  </si>
  <si>
    <t xml:space="preserve">Mehennagar Bibi </t>
  </si>
  <si>
    <t xml:space="preserve">Mukan Khatoon </t>
  </si>
  <si>
    <t>Class-11</t>
  </si>
  <si>
    <t xml:space="preserve">Md Firoz </t>
  </si>
  <si>
    <t>Class -5</t>
  </si>
  <si>
    <t xml:space="preserve">Labour </t>
  </si>
  <si>
    <t xml:space="preserve">Md Sarfaraz </t>
  </si>
  <si>
    <t>Cls-10</t>
  </si>
  <si>
    <t xml:space="preserve">Husna Bibi </t>
  </si>
  <si>
    <t>Clas-5</t>
  </si>
  <si>
    <t>Md Junaid</t>
  </si>
  <si>
    <t>Bro</t>
  </si>
  <si>
    <t>Clas-12</t>
  </si>
  <si>
    <t xml:space="preserve">Toukir raza </t>
  </si>
  <si>
    <t>Clas-8</t>
  </si>
  <si>
    <t xml:space="preserve">Alishba Firoz </t>
  </si>
  <si>
    <t xml:space="preserve">5yr </t>
  </si>
  <si>
    <t xml:space="preserve">Cls UN </t>
  </si>
  <si>
    <t xml:space="preserve">Md Raju </t>
  </si>
  <si>
    <t>Cls-4</t>
  </si>
  <si>
    <t xml:space="preserve">Rani Bibi </t>
  </si>
  <si>
    <t xml:space="preserve">Md Rezsuan </t>
  </si>
  <si>
    <t>Clas-2</t>
  </si>
  <si>
    <t xml:space="preserve">Amit Das </t>
  </si>
  <si>
    <t>Cla-7</t>
  </si>
  <si>
    <t xml:space="preserve">KMC </t>
  </si>
  <si>
    <t xml:space="preserve">Susila Das </t>
  </si>
  <si>
    <t>Cla-5</t>
  </si>
  <si>
    <t xml:space="preserve">Pession </t>
  </si>
  <si>
    <t xml:space="preserve">Monika Das </t>
  </si>
  <si>
    <t>sis</t>
  </si>
  <si>
    <t xml:space="preserve">Tution </t>
  </si>
  <si>
    <t xml:space="preserve">Aarav Das </t>
  </si>
  <si>
    <t>Clas-pp</t>
  </si>
  <si>
    <t xml:space="preserve">Md Jved </t>
  </si>
  <si>
    <t xml:space="preserve">Husbad </t>
  </si>
  <si>
    <t xml:space="preserve">8th </t>
  </si>
  <si>
    <t xml:space="preserve">Daily Worker </t>
  </si>
  <si>
    <t xml:space="preserve">Rubeda Khatoon </t>
  </si>
  <si>
    <t>Clas -6</t>
  </si>
  <si>
    <t xml:space="preserve">HW </t>
  </si>
  <si>
    <t xml:space="preserve">MD Khurshid </t>
  </si>
  <si>
    <t xml:space="preserve">Md Shabaan </t>
  </si>
  <si>
    <t xml:space="preserve">UN </t>
  </si>
  <si>
    <t>Clas-4</t>
  </si>
  <si>
    <t xml:space="preserve">Van Driver </t>
  </si>
  <si>
    <t xml:space="preserve">Rashida Bibi </t>
  </si>
  <si>
    <t xml:space="preserve">Clas-4th </t>
  </si>
  <si>
    <t xml:space="preserve">Shanaz Khatoon </t>
  </si>
  <si>
    <t>Clas-9</t>
  </si>
  <si>
    <t xml:space="preserve">Md rashid </t>
  </si>
  <si>
    <t xml:space="preserve">clas-6 </t>
  </si>
  <si>
    <t xml:space="preserve">Umar Fanuk </t>
  </si>
  <si>
    <t xml:space="preserve">Privet job </t>
  </si>
  <si>
    <t xml:space="preserve">Meestori Begum </t>
  </si>
  <si>
    <t xml:space="preserve">Rayan Ansari </t>
  </si>
  <si>
    <t xml:space="preserve">2yr </t>
  </si>
  <si>
    <t xml:space="preserve">Md Islam </t>
  </si>
  <si>
    <t xml:space="preserve">cook </t>
  </si>
  <si>
    <t>Coverage</t>
  </si>
  <si>
    <t>Support to MGJ Program</t>
  </si>
  <si>
    <t>Support to AK Program</t>
  </si>
  <si>
    <t>Work done to promote WWW</t>
  </si>
  <si>
    <t>Activities</t>
  </si>
  <si>
    <t>Citizenship Documents</t>
  </si>
  <si>
    <t>Social Security Schemes (Please add all the schemes location wise)</t>
  </si>
  <si>
    <t>Gender based violence</t>
  </si>
  <si>
    <t>Personal Empowerment</t>
  </si>
  <si>
    <t>Community Action</t>
  </si>
  <si>
    <t>Quarter</t>
  </si>
  <si>
    <t>Month</t>
  </si>
  <si>
    <t>Year</t>
  </si>
  <si>
    <t>Centre</t>
  </si>
  <si>
    <t>Total Number of District Covered</t>
  </si>
  <si>
    <t>Total number of New Basti covered</t>
  </si>
  <si>
    <t>Number of women reached directly</t>
  </si>
  <si>
    <t>Number of women reached indirectly</t>
  </si>
  <si>
    <t>No. of Enrolments in MGJ</t>
  </si>
  <si>
    <t>Meetings Organised/Supported</t>
  </si>
  <si>
    <t>No. of Enrolments in AK</t>
  </si>
  <si>
    <t>Meetings Organised/Support</t>
  </si>
  <si>
    <t>Target of Survey</t>
  </si>
  <si>
    <t>Number of Surveys Done</t>
  </si>
  <si>
    <t>IDENTIFIED INTERTESTED&amp; ELIGIBLE</t>
  </si>
  <si>
    <t>REGISTERED</t>
  </si>
  <si>
    <t>FOLLOW UP FOR ENROLLMENT</t>
  </si>
  <si>
    <t>HOME VISIT</t>
  </si>
  <si>
    <t>Target of enrollment in WWW</t>
  </si>
  <si>
    <t>No. of Enrolments in WWW</t>
  </si>
  <si>
    <t>Target of canopy</t>
  </si>
  <si>
    <t>Canopy</t>
  </si>
  <si>
    <t>Outreach through Canopy</t>
  </si>
  <si>
    <t>Target of community meeting</t>
  </si>
  <si>
    <t>Community Meeting</t>
  </si>
  <si>
    <t>Outreach through Community Meetings</t>
  </si>
  <si>
    <t>Target of Mike Prachar</t>
  </si>
  <si>
    <t>Mike Prachar</t>
  </si>
  <si>
    <t>Outreach through Mike Prachar</t>
  </si>
  <si>
    <t>Rally</t>
  </si>
  <si>
    <t>Outreach through Rally</t>
  </si>
  <si>
    <t>Book Reading Session</t>
  </si>
  <si>
    <t>Any other Activity (Add if required)</t>
  </si>
  <si>
    <t>Total Outreach</t>
  </si>
  <si>
    <t>PAMPHLET DISTRIBUTION</t>
  </si>
  <si>
    <t>Voter ID</t>
  </si>
  <si>
    <t>Adhar Card</t>
  </si>
  <si>
    <t>PAN Card</t>
  </si>
  <si>
    <t>Death Certificate</t>
  </si>
  <si>
    <t>Birth Certificate</t>
  </si>
  <si>
    <t xml:space="preserve">Marksheets </t>
  </si>
  <si>
    <t>Total taget of Citizenship document</t>
  </si>
  <si>
    <t>Total citizenship document acheived</t>
  </si>
  <si>
    <t>Janadhar Card</t>
  </si>
  <si>
    <t>Labour Card</t>
  </si>
  <si>
    <t>Chiranjeevi Yojna Card</t>
  </si>
  <si>
    <t>Ration Card/Labour Card</t>
  </si>
  <si>
    <t>Widow Pension</t>
  </si>
  <si>
    <t>Old Age Pension</t>
  </si>
  <si>
    <t>Pension for Single Women</t>
  </si>
  <si>
    <t>Pension for persons with disability</t>
  </si>
  <si>
    <t>JSY</t>
  </si>
  <si>
    <t>National Family welfare benefit scheme/Swastha Sathi/Duare Sarkar/Lakshmir Bhandar</t>
  </si>
  <si>
    <t>Ujjawala Schemes</t>
  </si>
  <si>
    <t>Pension (Widow, Olad age)/E-Shram</t>
  </si>
  <si>
    <t>Palanhar Scheme</t>
  </si>
  <si>
    <t>Schemes related to Girl Chid</t>
  </si>
  <si>
    <t>Schemes related to SC/ ST</t>
  </si>
  <si>
    <t>Any other</t>
  </si>
  <si>
    <t>Total taget of SSS</t>
  </si>
  <si>
    <t>Total SSS acheived</t>
  </si>
  <si>
    <t>Fiancial linkage through opening Bank Account</t>
  </si>
  <si>
    <t>Istitutional Visits</t>
  </si>
  <si>
    <t>Support in GBV cases</t>
  </si>
  <si>
    <t>Talk to the offender &amp; reconcile</t>
  </si>
  <si>
    <t>Advise to consult counsellor / MSSK(some agency)</t>
  </si>
  <si>
    <t>Advise to meet legal person</t>
  </si>
  <si>
    <t>Helped file a case</t>
  </si>
  <si>
    <t>Handhold throughtout the case</t>
  </si>
  <si>
    <t>Any other way</t>
  </si>
  <si>
    <t>Spoke against violence (Self/Family Members)</t>
  </si>
  <si>
    <t>Took own decision about education, marriage or job</t>
  </si>
  <si>
    <t>Negotiated unpaid care work with family members</t>
  </si>
  <si>
    <t>Taken control over mobility</t>
  </si>
  <si>
    <t>Visited other NGO/CBO/ any public meeting</t>
  </si>
  <si>
    <t>Spoke in a meeting/ conference</t>
  </si>
  <si>
    <t>Organised Campaigns</t>
  </si>
  <si>
    <t>Particiapation in Campaign</t>
  </si>
  <si>
    <t>Name of Campaign</t>
  </si>
  <si>
    <t>Name of the Community Project</t>
  </si>
  <si>
    <t>No. of persons participated in community project</t>
  </si>
  <si>
    <t>No. of persons reached out through community project</t>
  </si>
  <si>
    <t>Q1</t>
  </si>
  <si>
    <t>April</t>
  </si>
  <si>
    <t>South</t>
  </si>
  <si>
    <t>North</t>
  </si>
  <si>
    <t>May</t>
  </si>
  <si>
    <t>Jun</t>
  </si>
  <si>
    <t>Q2</t>
  </si>
  <si>
    <t>Jul</t>
  </si>
  <si>
    <t>Aug</t>
  </si>
  <si>
    <t>Sep</t>
  </si>
  <si>
    <t>Q3</t>
  </si>
  <si>
    <t>Oct</t>
  </si>
  <si>
    <t>Nov</t>
  </si>
  <si>
    <t xml:space="preserve">Dec </t>
  </si>
  <si>
    <t xml:space="preserve">In ward no 58, Hatgachia, 500 dustbins were distributed to 500 families.A feminist Leader in Rajabazar area installed a dustbin through local government.In Ward No 66, Topsia area there was no dustbin in that particular area and the garbage got accumulated which led to diseases like dengue and malaria. Most of the people specially children got affected by dengue.  So 2  Feminist Leaders took up the community work of installing dustbins in their respective areas.29 Dustbins installed in  Chingrighata area. 10 children got enrolled to school and 100 families were positively influenced to enroll their children to school.In ward no 57, Tangra area 3 Feminist Leaders has taken the community work of installing a dustbin in the locality, and cleaning the area. </t>
  </si>
  <si>
    <t>Q4</t>
  </si>
  <si>
    <t xml:space="preserve">Jan </t>
  </si>
  <si>
    <t xml:space="preserve">South </t>
  </si>
  <si>
    <t>NA</t>
  </si>
  <si>
    <t xml:space="preserve">Feb </t>
  </si>
  <si>
    <t xml:space="preserve">North </t>
  </si>
  <si>
    <t>Mar</t>
  </si>
  <si>
    <t>one session 14 FLP</t>
  </si>
  <si>
    <t>one session 13 FLP</t>
  </si>
  <si>
    <t>Total</t>
  </si>
  <si>
    <t xml:space="preserve">April </t>
  </si>
  <si>
    <t xml:space="preserve">May </t>
  </si>
  <si>
    <t>2 Polio card</t>
  </si>
  <si>
    <t>June</t>
  </si>
  <si>
    <t xml:space="preserve">Quater Total </t>
  </si>
  <si>
    <t xml:space="preserve">July </t>
  </si>
  <si>
    <t>August</t>
  </si>
  <si>
    <t xml:space="preserve">September </t>
  </si>
  <si>
    <t xml:space="preserve">2nd Quater </t>
  </si>
  <si>
    <t xml:space="preserve">Half yearly </t>
  </si>
  <si>
    <t>October</t>
  </si>
  <si>
    <t xml:space="preserve">November </t>
  </si>
  <si>
    <t xml:space="preserve">south </t>
  </si>
  <si>
    <t>12 polio</t>
  </si>
  <si>
    <t xml:space="preserve">December </t>
  </si>
  <si>
    <t>11 FL's did internship and got certified by NGO's</t>
  </si>
  <si>
    <t>2 OBR participation, 16 days activism participation</t>
  </si>
  <si>
    <t>One feminist leader install 7 new water tap at Sonurpur area, one feminist leader constructed new road at Gangajoara to Darigachi total 4.1 km with help of local govt. 3 feminist leader install 3 dustbin one at Tangra, one at Rajabar and one at subgachi. 2 feminist leader cleanup water logging drainage system at Rajabajar and Tiljhala area.  4 feminist leader cleanup the water tap pipe line to resolved the waterborne diseases like Typhoid, Hepatitis A.</t>
  </si>
  <si>
    <t>12 FL's did internship and got certified by NGO's</t>
  </si>
  <si>
    <t>One feminist leader installed one dustbin at Topsia, Three feminist leader repaird 3 roads at Motijhil, GJ Khan Road, Tangra and Nonadanga area, Two feminist leader install 2 new toilets at Park cuircus and Rajabazar, Two feminist leader work on new street at Subgachi and Jatragachi area with the help of local government, Cleanup 2water tap at topsia and Tangra Area.</t>
  </si>
  <si>
    <t>Q3 Total</t>
  </si>
  <si>
    <t>12 Polio Vaccination</t>
  </si>
  <si>
    <t>9 month total</t>
  </si>
  <si>
    <t>12 Polio card</t>
  </si>
  <si>
    <t xml:space="preserve">March </t>
  </si>
  <si>
    <t>Quarter Total</t>
  </si>
  <si>
    <t>Annual Total</t>
  </si>
  <si>
    <t xml:space="preserve">12Polio card </t>
  </si>
  <si>
    <t xml:space="preserve">June </t>
  </si>
  <si>
    <t>Samajik Surakhya yojna 15</t>
  </si>
  <si>
    <t xml:space="preserve">Q1 Total </t>
  </si>
  <si>
    <t>July</t>
  </si>
  <si>
    <t xml:space="preserve">2Identify &amp; counselling </t>
  </si>
  <si>
    <t xml:space="preserve">2 Identify &amp;counselling </t>
  </si>
  <si>
    <t xml:space="preserve">4 identify &amp; conselling </t>
  </si>
  <si>
    <t>sep</t>
  </si>
  <si>
    <t xml:space="preserve">5 identify </t>
  </si>
  <si>
    <t xml:space="preserve">6 identify </t>
  </si>
  <si>
    <t>Q2 Total</t>
  </si>
  <si>
    <t xml:space="preserve">Half yearly total </t>
  </si>
  <si>
    <t xml:space="preserve">Oct </t>
  </si>
  <si>
    <t xml:space="preserve">Nov </t>
  </si>
  <si>
    <t>SIR 93</t>
  </si>
  <si>
    <t>SIR127</t>
  </si>
  <si>
    <t xml:space="preserve"> </t>
  </si>
  <si>
    <t>Dec</t>
  </si>
  <si>
    <t>2identify</t>
  </si>
  <si>
    <t xml:space="preserve">One feminist leader enrolled 3 droput children, , three fl clean 3 drain at Topsia, Tijala, parkcircus area, also install new drain . Two FL installed 2 new street light. Two feminist leader clean road with the help of coorporation . One fl work on constraction of new bridge.  One FL work on constructed new road at sonapur area. </t>
  </si>
  <si>
    <t>3identify</t>
  </si>
  <si>
    <t xml:space="preserve">One feminist leader enrolled 4 dropout , Six leaders reparied water tap, one leader work on drain cleaning, one leader clean drink pipe line, One Fl work on new tap instalattion work.  </t>
  </si>
  <si>
    <t xml:space="preserve">  m</t>
  </si>
  <si>
    <t>Peer Group Feminist engagement</t>
  </si>
  <si>
    <t>S.No</t>
  </si>
  <si>
    <t xml:space="preserve">Year </t>
  </si>
  <si>
    <t xml:space="preserve">Name of FLP Leader </t>
  </si>
  <si>
    <t xml:space="preserve">Number of Peer Group Members </t>
  </si>
  <si>
    <t>Number of Peer Group Members Dropped</t>
  </si>
  <si>
    <t>Number of Peer Group Members Joined (New)</t>
  </si>
  <si>
    <t>Areas from where the group members are coming</t>
  </si>
  <si>
    <t>Did any meeting held in this month?</t>
  </si>
  <si>
    <t>Topic of the Meeting</t>
  </si>
  <si>
    <t>Date of the Meeting</t>
  </si>
  <si>
    <t xml:space="preserve">How many Peer/group Members attend?  </t>
  </si>
  <si>
    <t>Did any Activity held in this month?</t>
  </si>
  <si>
    <t>Topic of the Activity</t>
  </si>
  <si>
    <t>Date of the Activity</t>
  </si>
  <si>
    <t xml:space="preserve">Formation , impotance group </t>
  </si>
  <si>
    <t>9th</t>
  </si>
  <si>
    <t>16th</t>
  </si>
  <si>
    <t>13th</t>
  </si>
  <si>
    <t>3rd</t>
  </si>
  <si>
    <t>22nd</t>
  </si>
  <si>
    <t>24th</t>
  </si>
  <si>
    <t>14th</t>
  </si>
  <si>
    <t>15th</t>
  </si>
  <si>
    <t>17th</t>
  </si>
  <si>
    <t>23rd</t>
  </si>
  <si>
    <t>28th</t>
  </si>
  <si>
    <t xml:space="preserve">About GKSK </t>
  </si>
  <si>
    <t xml:space="preserve">25th </t>
  </si>
  <si>
    <t>11th</t>
  </si>
  <si>
    <t xml:space="preserve">11th </t>
  </si>
  <si>
    <t>21st</t>
  </si>
  <si>
    <t>Monalisa</t>
  </si>
  <si>
    <t>25th</t>
  </si>
  <si>
    <t xml:space="preserve">23rd </t>
  </si>
  <si>
    <t xml:space="preserve">Importance of Citizenship document for women </t>
  </si>
  <si>
    <t>20th</t>
  </si>
  <si>
    <t>8th</t>
  </si>
  <si>
    <t xml:space="preserve">28th </t>
  </si>
  <si>
    <t xml:space="preserve">15th </t>
  </si>
  <si>
    <t xml:space="preserve">12th </t>
  </si>
  <si>
    <t xml:space="preserve">20th </t>
  </si>
  <si>
    <t xml:space="preserve">22nd </t>
  </si>
  <si>
    <t>12th</t>
  </si>
  <si>
    <t>Sehnaz Parveen</t>
  </si>
  <si>
    <t xml:space="preserve">August </t>
  </si>
  <si>
    <t xml:space="preserve">CAW </t>
  </si>
  <si>
    <t xml:space="preserve">20th  </t>
  </si>
  <si>
    <t>27th</t>
  </si>
  <si>
    <t>5th</t>
  </si>
  <si>
    <t>7th</t>
  </si>
  <si>
    <t xml:space="preserve">Sep </t>
  </si>
  <si>
    <t xml:space="preserve">10th </t>
  </si>
  <si>
    <t>10th</t>
  </si>
  <si>
    <t xml:space="preserve">9th </t>
  </si>
  <si>
    <t>Enrollment Number</t>
  </si>
  <si>
    <t xml:space="preserve">Name of Leader </t>
  </si>
  <si>
    <t xml:space="preserve">Pre training tasks </t>
  </si>
  <si>
    <t>Phase I  Training (please add coloumns below if required in case of more trainings done)</t>
  </si>
  <si>
    <t>Interphase tasks (After Phase I)</t>
  </si>
  <si>
    <t>Phase II Trainings (please add coloumns below if required in case of more trainings done)</t>
  </si>
  <si>
    <t>Phase III  Training (please add coloumns below if required in case of more trainings done)</t>
  </si>
  <si>
    <t>Interphase tasks (Phase III)</t>
  </si>
  <si>
    <t>Phase IV (please add coloumns below if required in case of more trainings done)</t>
  </si>
  <si>
    <t>Community Projects (Phase IV)</t>
  </si>
  <si>
    <t>Surveys conducted</t>
  </si>
  <si>
    <t>Identified I&amp;E</t>
  </si>
  <si>
    <t>Follow Up</t>
  </si>
  <si>
    <t xml:space="preserve">Registered </t>
  </si>
  <si>
    <t>Enrollments in WWW</t>
  </si>
  <si>
    <t xml:space="preserve">Name of Training </t>
  </si>
  <si>
    <t>Date of Training</t>
  </si>
  <si>
    <t>home visit</t>
  </si>
  <si>
    <t>Idebtification of CBOs</t>
  </si>
  <si>
    <t>Institution Visit</t>
  </si>
  <si>
    <t>Which Institution Visited</t>
  </si>
  <si>
    <t>Understanding Feminism and Feminist Movements</t>
  </si>
  <si>
    <t>Citizenship documents</t>
  </si>
  <si>
    <t>Name of the  citizenship document</t>
  </si>
  <si>
    <t>Linkage to Social Security Schemes</t>
  </si>
  <si>
    <t>Name the social security scheme</t>
  </si>
  <si>
    <t>Joined Campaign to prevent GBV</t>
  </si>
  <si>
    <t>Identification of case related to GBV</t>
  </si>
  <si>
    <t>What type of GBV addressed and how it helped</t>
  </si>
  <si>
    <t>Type of Support Provided</t>
  </si>
  <si>
    <t xml:space="preserve">Plan for community action project </t>
  </si>
  <si>
    <t>Engaging with digital platform and safeguarding from Cyber Crime</t>
  </si>
  <si>
    <t>Name of the community Project</t>
  </si>
  <si>
    <t>Number of Beneficiary</t>
  </si>
  <si>
    <t>who are the beneficiary (number of men/women/children/adolcent/trans gender etc.)</t>
  </si>
  <si>
    <t>Project Presentation done and submitted</t>
  </si>
  <si>
    <t>Voter Card</t>
  </si>
  <si>
    <t>Leadership &amp; Self</t>
  </si>
  <si>
    <t>29th &amp;30th Nov 23</t>
  </si>
  <si>
    <t>18th,19th Dec</t>
  </si>
  <si>
    <t>Power</t>
  </si>
  <si>
    <t>18,19th Dec</t>
  </si>
  <si>
    <t>Walk Out</t>
  </si>
  <si>
    <t>2,1</t>
  </si>
  <si>
    <t>voter card, Pan card</t>
  </si>
  <si>
    <t>Voter card</t>
  </si>
  <si>
    <t xml:space="preserve">Adhar Card </t>
  </si>
  <si>
    <t>6,2</t>
  </si>
  <si>
    <t xml:space="preserve">Pan card, adhar </t>
  </si>
  <si>
    <t xml:space="preserve">Gender and Sex, Violence , </t>
  </si>
  <si>
    <t>6th to 10th Feb 2024</t>
  </si>
  <si>
    <t>NTL</t>
  </si>
  <si>
    <t>28th Feb 24</t>
  </si>
  <si>
    <t xml:space="preserve">Femisam </t>
  </si>
  <si>
    <t xml:space="preserve">1st April </t>
  </si>
  <si>
    <t xml:space="preserve">12nd March on Patriarchy </t>
  </si>
  <si>
    <t xml:space="preserve">Constitution, Documentation, Urban community-socio-economic-demography, GVB, </t>
  </si>
  <si>
    <t>6th to 10th May 2024</t>
  </si>
  <si>
    <t xml:space="preserve">22nd 23rd may </t>
  </si>
  <si>
    <t xml:space="preserve">Communication </t>
  </si>
  <si>
    <t>26 June and 3rd July</t>
  </si>
  <si>
    <t xml:space="preserve">Adhar , Pan </t>
  </si>
  <si>
    <t xml:space="preserve">Pension e shram </t>
  </si>
  <si>
    <t xml:space="preserve">Self Defence,  Introducing Community Action Project- CAPs, </t>
  </si>
  <si>
    <t xml:space="preserve">27th to 31st of August </t>
  </si>
  <si>
    <t xml:space="preserve">Leadership and cyber crime </t>
  </si>
  <si>
    <t>22nd and 23rd Oct</t>
  </si>
  <si>
    <t>2Ad</t>
  </si>
  <si>
    <t xml:space="preserve">Adhar </t>
  </si>
  <si>
    <t xml:space="preserve">Seuality and Reporoductive system </t>
  </si>
  <si>
    <t xml:space="preserve">20th to 22nd of Nov </t>
  </si>
  <si>
    <t xml:space="preserve">1 Adhar Card </t>
  </si>
  <si>
    <t>Adhar, PAN</t>
  </si>
  <si>
    <t>M-37</t>
  </si>
  <si>
    <t>M-2</t>
  </si>
  <si>
    <t>M-1</t>
  </si>
  <si>
    <t>F-1 M-1</t>
  </si>
  <si>
    <t>M-20</t>
  </si>
  <si>
    <t>F-11 M-14</t>
  </si>
  <si>
    <t>F-2 M-1</t>
  </si>
  <si>
    <t>F-1</t>
  </si>
  <si>
    <t>F-2</t>
  </si>
  <si>
    <t xml:space="preserve">1 Adhar
1Birth 
2 Bank </t>
  </si>
  <si>
    <t>Adhar Pan</t>
  </si>
  <si>
    <t xml:space="preserve">Raion </t>
  </si>
  <si>
    <t xml:space="preserve">Swasthasathi </t>
  </si>
  <si>
    <t>Kamini Aziz</t>
  </si>
  <si>
    <t xml:space="preserve">Adhar, Pan </t>
  </si>
  <si>
    <t xml:space="preserve">3 Adhar , 1 PAN, 1Voter, 1 Death, 1Birth </t>
  </si>
  <si>
    <t>Adhar, pan</t>
  </si>
  <si>
    <t>Swasthasathi, Ration, e-shram card</t>
  </si>
  <si>
    <t xml:space="preserve">1Birth certificate </t>
  </si>
  <si>
    <t xml:space="preserve">Birth, adhar </t>
  </si>
  <si>
    <t>F2 M-3</t>
  </si>
  <si>
    <t>F-4 M-4</t>
  </si>
  <si>
    <t>F3 M 4</t>
  </si>
  <si>
    <t xml:space="preserve">F-6 M-8 </t>
  </si>
  <si>
    <t>F-1 M-2</t>
  </si>
  <si>
    <t>F-1 M-4</t>
  </si>
  <si>
    <t>1 KYC</t>
  </si>
  <si>
    <t>F-14 M-8</t>
  </si>
  <si>
    <t>F-3</t>
  </si>
  <si>
    <t>F-1 M1</t>
  </si>
  <si>
    <t>F-15 M-26</t>
  </si>
  <si>
    <t>F-2 M-2</t>
  </si>
  <si>
    <t>F - 1  M 3</t>
  </si>
  <si>
    <t>F 3M 2</t>
  </si>
  <si>
    <t>6th to 10th May 2042</t>
  </si>
  <si>
    <t>F-5 M-10</t>
  </si>
  <si>
    <t>M-4</t>
  </si>
  <si>
    <t>F3 M 3</t>
  </si>
  <si>
    <t>6th to 10th May 2043</t>
  </si>
  <si>
    <t>Majda Khatoon</t>
  </si>
  <si>
    <t>F-13   M-7</t>
  </si>
  <si>
    <t>F-6</t>
  </si>
  <si>
    <t>F-6  M-6</t>
  </si>
  <si>
    <t>M4</t>
  </si>
  <si>
    <t>F1 M1</t>
  </si>
  <si>
    <t>F-3 M3</t>
  </si>
  <si>
    <t>6th to 10th May 2044</t>
  </si>
  <si>
    <t xml:space="preserve">1 Birth
3 Adhar 
</t>
  </si>
  <si>
    <t>F-10 M-7</t>
  </si>
  <si>
    <t>M1</t>
  </si>
  <si>
    <t>F1M3</t>
  </si>
  <si>
    <t xml:space="preserve">F 1M3 </t>
  </si>
  <si>
    <t>6th to 10th May 2045</t>
  </si>
  <si>
    <t xml:space="preserve">1 KYC
1 Birth
1 Adhar 
1Lakhir
1 Ration  </t>
  </si>
  <si>
    <t>1 JSy</t>
  </si>
  <si>
    <t>F-10 M-20</t>
  </si>
  <si>
    <t>F2 M-6</t>
  </si>
  <si>
    <t>F-1 M2</t>
  </si>
  <si>
    <t>F-3 M-3</t>
  </si>
  <si>
    <t>6th to 10th May 2046</t>
  </si>
  <si>
    <t>1 Widow</t>
  </si>
  <si>
    <t xml:space="preserve">F-20 M-6 </t>
  </si>
  <si>
    <t xml:space="preserve">F-2 </t>
  </si>
  <si>
    <t>F-3 M-2</t>
  </si>
  <si>
    <t>6th to 10th May 2047</t>
  </si>
  <si>
    <t>M 15</t>
  </si>
  <si>
    <t>F2</t>
  </si>
  <si>
    <t>F2 M-2</t>
  </si>
  <si>
    <t>F-00</t>
  </si>
  <si>
    <t>F-1 M-3</t>
  </si>
  <si>
    <t>F-3 M-4</t>
  </si>
  <si>
    <t>F-3 M-5</t>
  </si>
  <si>
    <t>Batch -6</t>
  </si>
  <si>
    <t xml:space="preserve">Gender, Patriarchy, Women and Work, Group formation </t>
  </si>
  <si>
    <t>28th to 31st of Jan 2025</t>
  </si>
  <si>
    <t xml:space="preserve">Gender Based Violence, types of violence </t>
  </si>
  <si>
    <t>10th and 11th Mar</t>
  </si>
  <si>
    <t>21st to 25th April 2025</t>
  </si>
  <si>
    <t xml:space="preserve">Self &amp; communication </t>
  </si>
  <si>
    <t>29th -30th May 2025</t>
  </si>
  <si>
    <t>18th to 22nd of Agust</t>
  </si>
  <si>
    <t xml:space="preserve">21st to 25th April </t>
  </si>
  <si>
    <t xml:space="preserve">29th -30th May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</si>
</sst>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mm/dd/yyyy"/>
    <numFmt numFmtId="166" formatCode="mmm\-d"/>
  </numFmts>
  <fonts count="33" x14ac:knownFonts="1">
    <font>
      <sz val="10"/>
      <color rgb="FF000000"/>
      <name val="Arial"/>
      <scheme val="minor"/>
    </font>
    <font>
      <sz val="10"/>
      <color theme="1"/>
      <name val="Arial"/>
      <scheme val="minor"/>
    </font>
    <font>
      <b/>
      <sz val="9"/>
      <color rgb="FF000000"/>
      <name val="Calibri"/>
    </font>
    <font>
      <b/>
      <sz val="9"/>
      <color theme="1"/>
      <name val="Calibri"/>
    </font>
    <font>
      <b/>
      <sz val="8"/>
      <color rgb="FF000000"/>
      <name val="Calibri"/>
    </font>
    <font>
      <b/>
      <sz val="8"/>
      <color theme="1"/>
      <name val="Calibri"/>
    </font>
    <font>
      <sz val="9"/>
      <color theme="1"/>
      <name val="Calibri"/>
    </font>
    <font>
      <sz val="11"/>
      <color theme="1"/>
      <name val="Calibri"/>
    </font>
    <font>
      <sz val="10"/>
      <color theme="1"/>
      <name val="Calibri"/>
    </font>
    <font>
      <sz val="11"/>
      <color theme="1"/>
      <name val="Arial"/>
      <scheme val="minor"/>
    </font>
    <font>
      <sz val="9"/>
      <color theme="1"/>
      <name val="Arial"/>
      <scheme val="minor"/>
    </font>
    <font>
      <u/>
      <sz val="10"/>
      <color rgb="FF0000FF"/>
      <name val="Arial"/>
    </font>
    <font>
      <b/>
      <sz val="11"/>
      <color rgb="FF000000"/>
      <name val="Calibri"/>
    </font>
    <font>
      <sz val="10"/>
      <color rgb="FF000000"/>
      <name val="Calibri"/>
    </font>
    <font>
      <sz val="10"/>
      <color theme="1"/>
      <name val="Arial"/>
    </font>
    <font>
      <sz val="10"/>
      <color rgb="FF000000"/>
      <name val="Arial"/>
    </font>
    <font>
      <b/>
      <sz val="10"/>
      <color theme="1"/>
      <name val="Calibri"/>
    </font>
    <font>
      <b/>
      <sz val="11"/>
      <color theme="1"/>
      <name val="Calibri"/>
    </font>
    <font>
      <sz val="10"/>
      <name val="Arial"/>
    </font>
    <font>
      <b/>
      <sz val="11"/>
      <color rgb="FFFFFFFF"/>
      <name val="Calibri"/>
    </font>
    <font>
      <b/>
      <sz val="9"/>
      <color rgb="FFFFFFFF"/>
      <name val="Arial"/>
      <scheme val="minor"/>
    </font>
    <font>
      <b/>
      <sz val="10"/>
      <color rgb="FF000000"/>
      <name val="Calibri"/>
    </font>
    <font>
      <b/>
      <sz val="10"/>
      <color theme="1"/>
      <name val="Calibri"/>
    </font>
    <font>
      <b/>
      <sz val="10"/>
      <color rgb="FF632523"/>
      <name val="Calibri"/>
    </font>
    <font>
      <b/>
      <sz val="10"/>
      <color rgb="FF4A86E8"/>
      <name val="Calibri"/>
    </font>
    <font>
      <b/>
      <sz val="11"/>
      <color rgb="FFFF00FF"/>
      <name val="Calibri"/>
    </font>
    <font>
      <b/>
      <sz val="10"/>
      <color rgb="FFFF00FF"/>
      <name val="Calibri"/>
    </font>
    <font>
      <b/>
      <sz val="11"/>
      <color rgb="FF000000"/>
      <name val="Arial"/>
    </font>
    <font>
      <sz val="11"/>
      <color rgb="FF000000"/>
      <name val="Arial"/>
    </font>
    <font>
      <sz val="12"/>
      <color theme="1"/>
      <name val="Calibri"/>
    </font>
    <font>
      <u/>
      <sz val="10"/>
      <color rgb="FF0000FF"/>
      <name val="Calibri"/>
    </font>
    <font>
      <sz val="10"/>
      <color theme="1"/>
      <name val="Calibri"/>
    </font>
    <font>
      <u/>
      <sz val="10"/>
      <color rgb="FF1155CC"/>
      <name val="Arial"/>
    </font>
  </fonts>
  <fills count="30">
    <fill>
      <patternFill patternType="none"/>
    </fill>
    <fill>
      <patternFill patternType="gray125"/>
    </fill>
    <fill>
      <patternFill patternType="solid">
        <fgColor rgb="FFD9D2E9"/>
        <bgColor rgb="FFD9D2E9"/>
      </patternFill>
    </fill>
    <fill>
      <patternFill patternType="solid">
        <fgColor rgb="FF00FFFF"/>
        <bgColor rgb="FF00FFFF"/>
      </patternFill>
    </fill>
    <fill>
      <patternFill patternType="solid">
        <fgColor rgb="FFB4A7D6"/>
        <bgColor rgb="FFB4A7D6"/>
      </patternFill>
    </fill>
    <fill>
      <patternFill patternType="solid">
        <fgColor rgb="FF00FF00"/>
        <bgColor rgb="FF00FF00"/>
      </patternFill>
    </fill>
    <fill>
      <patternFill patternType="solid">
        <fgColor rgb="FFFFFFFF"/>
        <bgColor rgb="FFFFFFFF"/>
      </patternFill>
    </fill>
    <fill>
      <patternFill patternType="solid">
        <fgColor theme="9"/>
        <bgColor theme="9"/>
      </patternFill>
    </fill>
    <fill>
      <patternFill patternType="solid">
        <fgColor rgb="FF9900FF"/>
        <bgColor rgb="FF9900FF"/>
      </patternFill>
    </fill>
    <fill>
      <patternFill patternType="solid">
        <fgColor rgb="FF0000FF"/>
        <bgColor rgb="FF0000FF"/>
      </patternFill>
    </fill>
    <fill>
      <patternFill patternType="solid">
        <fgColor rgb="FFFF00FF"/>
        <bgColor rgb="FFFF00FF"/>
      </patternFill>
    </fill>
    <fill>
      <patternFill patternType="solid">
        <fgColor rgb="FFEAD1DC"/>
        <bgColor rgb="FFEAD1DC"/>
      </patternFill>
    </fill>
    <fill>
      <patternFill patternType="solid">
        <fgColor rgb="FFE06666"/>
        <bgColor rgb="FFE06666"/>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A2C4C9"/>
        <bgColor rgb="FFA2C4C9"/>
      </patternFill>
    </fill>
    <fill>
      <patternFill patternType="solid">
        <fgColor rgb="FFF4CCCC"/>
        <bgColor rgb="FFF4CCCC"/>
      </patternFill>
    </fill>
    <fill>
      <patternFill patternType="solid">
        <fgColor rgb="FF9FC5E8"/>
        <bgColor rgb="FF9FC5E8"/>
      </patternFill>
    </fill>
    <fill>
      <patternFill patternType="solid">
        <fgColor rgb="FFFFF2CC"/>
        <bgColor rgb="FFFFF2CC"/>
      </patternFill>
    </fill>
    <fill>
      <patternFill patternType="solid">
        <fgColor rgb="FFE26B0A"/>
        <bgColor rgb="FFE26B0A"/>
      </patternFill>
    </fill>
    <fill>
      <patternFill patternType="solid">
        <fgColor rgb="FF403151"/>
        <bgColor rgb="FF403151"/>
      </patternFill>
    </fill>
    <fill>
      <patternFill patternType="solid">
        <fgColor rgb="FFCC0000"/>
        <bgColor rgb="FFCC0000"/>
      </patternFill>
    </fill>
    <fill>
      <patternFill patternType="solid">
        <fgColor rgb="FFFFFF00"/>
        <bgColor rgb="FFFFFF00"/>
      </patternFill>
    </fill>
    <fill>
      <patternFill patternType="solid">
        <fgColor rgb="FFDDD9C4"/>
        <bgColor rgb="FFDDD9C4"/>
      </patternFill>
    </fill>
    <fill>
      <patternFill patternType="solid">
        <fgColor rgb="FFFF0000"/>
        <bgColor rgb="FFFF0000"/>
      </patternFill>
    </fill>
    <fill>
      <patternFill patternType="solid">
        <fgColor rgb="FF4A86E8"/>
        <bgColor rgb="FF4A86E8"/>
      </patternFill>
    </fill>
    <fill>
      <patternFill patternType="solid">
        <fgColor rgb="FFF4B083"/>
        <bgColor rgb="FFF4B083"/>
      </patternFill>
    </fill>
    <fill>
      <patternFill patternType="solid">
        <fgColor rgb="FFFBE4D5"/>
        <bgColor rgb="FFFBE4D5"/>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33">
    <xf numFmtId="0" fontId="0" fillId="0" borderId="0" xfId="0"/>
    <xf numFmtId="0" fontId="1" fillId="0" borderId="0" xfId="0" applyFont="1" applyAlignment="1">
      <alignment horizontal="center"/>
    </xf>
    <xf numFmtId="0" fontId="2" fillId="2" borderId="1" xfId="0" applyFont="1" applyFill="1" applyBorder="1" applyAlignment="1">
      <alignment horizontal="center" vertical="top" wrapText="1"/>
    </xf>
    <xf numFmtId="164" fontId="2" fillId="2" borderId="1" xfId="0" applyNumberFormat="1"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3" fillId="2" borderId="1" xfId="0" applyFont="1" applyFill="1" applyBorder="1" applyAlignment="1">
      <alignment horizontal="center" wrapText="1"/>
    </xf>
    <xf numFmtId="0" fontId="2" fillId="0" borderId="0" xfId="0" applyFont="1" applyAlignment="1">
      <alignment horizontal="center" vertical="top" wrapText="1"/>
    </xf>
    <xf numFmtId="0" fontId="2" fillId="5" borderId="0" xfId="0" applyFont="1" applyFill="1" applyAlignment="1">
      <alignment horizontal="center" vertical="top" wrapText="1"/>
    </xf>
    <xf numFmtId="0" fontId="2" fillId="3" borderId="0" xfId="0" applyFont="1" applyFill="1" applyAlignment="1">
      <alignment horizontal="center" vertical="top" wrapText="1"/>
    </xf>
    <xf numFmtId="0" fontId="2" fillId="6" borderId="0" xfId="0" applyFont="1" applyFill="1" applyAlignment="1">
      <alignment horizontal="center" vertical="top" wrapText="1"/>
    </xf>
    <xf numFmtId="164" fontId="2" fillId="6" borderId="0" xfId="0" applyNumberFormat="1" applyFont="1" applyFill="1" applyAlignment="1">
      <alignment horizontal="center" vertical="top" wrapText="1"/>
    </xf>
    <xf numFmtId="0" fontId="3" fillId="6" borderId="0" xfId="0" applyFont="1" applyFill="1" applyAlignment="1">
      <alignment horizontal="center" wrapText="1"/>
    </xf>
    <xf numFmtId="0" fontId="4" fillId="5" borderId="0" xfId="0" applyFont="1" applyFill="1" applyAlignment="1">
      <alignment horizontal="center" vertical="top" wrapText="1"/>
    </xf>
    <xf numFmtId="0" fontId="4" fillId="6" borderId="0" xfId="0" applyFont="1" applyFill="1" applyAlignment="1">
      <alignment horizontal="center" vertical="top" wrapText="1"/>
    </xf>
    <xf numFmtId="164" fontId="4" fillId="6" borderId="0" xfId="0" applyNumberFormat="1" applyFont="1" applyFill="1" applyAlignment="1">
      <alignment horizontal="center" vertical="top" wrapText="1"/>
    </xf>
    <xf numFmtId="0" fontId="5" fillId="6" borderId="0" xfId="0" applyFont="1" applyFill="1" applyAlignment="1">
      <alignment horizontal="center" wrapText="1"/>
    </xf>
    <xf numFmtId="0" fontId="6" fillId="0" borderId="0" xfId="0" applyFont="1"/>
    <xf numFmtId="0" fontId="6" fillId="0" borderId="0" xfId="0" applyFont="1" applyAlignment="1">
      <alignment horizontal="center"/>
    </xf>
    <xf numFmtId="0" fontId="6" fillId="0" borderId="0" xfId="0" applyFont="1" applyAlignment="1">
      <alignment horizontal="right"/>
    </xf>
    <xf numFmtId="0" fontId="6" fillId="0" borderId="0" xfId="0" applyFont="1" applyAlignment="1">
      <alignment wrapText="1"/>
    </xf>
    <xf numFmtId="164" fontId="6" fillId="6" borderId="0" xfId="0" applyNumberFormat="1" applyFont="1" applyFill="1"/>
    <xf numFmtId="0" fontId="6" fillId="0" borderId="0" xfId="0" applyFont="1" applyAlignment="1">
      <alignment horizontal="left"/>
    </xf>
    <xf numFmtId="0" fontId="6" fillId="7" borderId="0" xfId="0" applyFont="1" applyFill="1" applyAlignment="1">
      <alignment horizontal="center"/>
    </xf>
    <xf numFmtId="0" fontId="7" fillId="0" borderId="0" xfId="0" applyFont="1"/>
    <xf numFmtId="0" fontId="7" fillId="0" borderId="0" xfId="0" applyFont="1" applyAlignment="1">
      <alignment wrapText="1"/>
    </xf>
    <xf numFmtId="0" fontId="7" fillId="0" borderId="0" xfId="0" applyFont="1" applyAlignment="1">
      <alignment vertical="top"/>
    </xf>
    <xf numFmtId="0" fontId="1" fillId="0" borderId="0" xfId="0" applyFont="1"/>
    <xf numFmtId="0" fontId="6" fillId="8" borderId="0" xfId="0" applyFont="1" applyFill="1" applyAlignment="1">
      <alignment horizontal="center"/>
    </xf>
    <xf numFmtId="14" fontId="6" fillId="0" borderId="0" xfId="0" applyNumberFormat="1" applyFont="1" applyAlignment="1">
      <alignment horizontal="left"/>
    </xf>
    <xf numFmtId="14" fontId="1" fillId="0" borderId="0" xfId="0" applyNumberFormat="1" applyFont="1" applyAlignment="1">
      <alignment horizontal="left"/>
    </xf>
    <xf numFmtId="0" fontId="1" fillId="7" borderId="0" xfId="0" applyFont="1" applyFill="1" applyAlignment="1">
      <alignment horizontal="center"/>
    </xf>
    <xf numFmtId="0" fontId="8" fillId="0" borderId="0" xfId="0" applyFont="1"/>
    <xf numFmtId="0" fontId="9" fillId="0" borderId="0" xfId="0" applyFont="1" applyAlignment="1">
      <alignment wrapText="1"/>
    </xf>
    <xf numFmtId="0" fontId="9" fillId="0" borderId="0" xfId="0" applyFont="1"/>
    <xf numFmtId="0" fontId="1" fillId="9" borderId="0" xfId="0" applyFont="1" applyFill="1"/>
    <xf numFmtId="0" fontId="1" fillId="0" borderId="0" xfId="0" applyFont="1" applyAlignment="1">
      <alignment wrapText="1"/>
    </xf>
    <xf numFmtId="0" fontId="10" fillId="0" borderId="0" xfId="0" applyFont="1"/>
    <xf numFmtId="0" fontId="1" fillId="0" borderId="0" xfId="0" applyFont="1" applyAlignment="1">
      <alignment horizontal="left"/>
    </xf>
    <xf numFmtId="0" fontId="1" fillId="8" borderId="0" xfId="0" applyFont="1" applyFill="1" applyAlignment="1">
      <alignment horizontal="center"/>
    </xf>
    <xf numFmtId="165" fontId="1" fillId="0" borderId="0" xfId="0" applyNumberFormat="1" applyFont="1" applyAlignment="1">
      <alignment horizontal="left"/>
    </xf>
    <xf numFmtId="0" fontId="1" fillId="8" borderId="0" xfId="0" applyFont="1" applyFill="1"/>
    <xf numFmtId="0" fontId="1" fillId="5" borderId="0" xfId="0" applyFont="1" applyFill="1" applyAlignment="1">
      <alignment horizontal="center"/>
    </xf>
    <xf numFmtId="0" fontId="1" fillId="10" borderId="0" xfId="0" applyFont="1" applyFill="1" applyAlignment="1">
      <alignment horizontal="center"/>
    </xf>
    <xf numFmtId="0" fontId="1" fillId="11" borderId="0" xfId="0" applyFont="1" applyFill="1"/>
    <xf numFmtId="0" fontId="11" fillId="0" borderId="0" xfId="0" applyFont="1"/>
    <xf numFmtId="0" fontId="7" fillId="0" borderId="0" xfId="0" applyFont="1" applyAlignment="1">
      <alignment horizontal="center" vertical="top"/>
    </xf>
    <xf numFmtId="0" fontId="1" fillId="0" borderId="0" xfId="0" applyFont="1" applyAlignment="1">
      <alignment vertical="top"/>
    </xf>
    <xf numFmtId="0" fontId="3" fillId="6" borderId="0" xfId="0" applyFont="1" applyFill="1" applyAlignment="1">
      <alignment horizontal="center" vertical="top" wrapText="1"/>
    </xf>
    <xf numFmtId="0" fontId="5" fillId="6" borderId="0" xfId="0" applyFont="1" applyFill="1" applyAlignment="1">
      <alignment horizontal="center" vertical="top" wrapText="1"/>
    </xf>
    <xf numFmtId="0" fontId="1" fillId="0" borderId="2" xfId="0" applyFont="1" applyBorder="1"/>
    <xf numFmtId="0" fontId="12" fillId="12" borderId="0" xfId="0" applyFont="1" applyFill="1" applyAlignment="1">
      <alignment horizontal="center" wrapText="1"/>
    </xf>
    <xf numFmtId="0" fontId="12" fillId="2" borderId="0" xfId="0" applyFont="1" applyFill="1" applyAlignment="1">
      <alignment horizontal="center" wrapText="1"/>
    </xf>
    <xf numFmtId="0" fontId="12" fillId="13" borderId="0" xfId="0" applyFont="1" applyFill="1" applyAlignment="1">
      <alignment horizontal="center" wrapText="1"/>
    </xf>
    <xf numFmtId="0" fontId="12" fillId="14" borderId="0" xfId="0" applyFont="1" applyFill="1" applyAlignment="1">
      <alignment horizontal="center" wrapText="1"/>
    </xf>
    <xf numFmtId="0" fontId="12" fillId="15" borderId="0" xfId="0" applyFont="1" applyFill="1" applyAlignment="1">
      <alignment horizontal="center" wrapText="1"/>
    </xf>
    <xf numFmtId="0" fontId="12" fillId="16" borderId="0" xfId="0" applyFont="1" applyFill="1" applyAlignment="1">
      <alignment horizontal="center" wrapText="1"/>
    </xf>
    <xf numFmtId="0" fontId="12" fillId="17" borderId="0" xfId="0" applyFont="1" applyFill="1" applyAlignment="1">
      <alignment horizontal="center" wrapText="1"/>
    </xf>
    <xf numFmtId="0" fontId="12" fillId="18" borderId="0" xfId="0" applyFont="1" applyFill="1" applyAlignment="1">
      <alignment horizontal="center" wrapText="1"/>
    </xf>
    <xf numFmtId="0" fontId="12" fillId="4" borderId="0" xfId="0" applyFont="1" applyFill="1" applyAlignment="1">
      <alignment horizontal="center" wrapText="1"/>
    </xf>
    <xf numFmtId="0" fontId="12" fillId="0" borderId="0" xfId="0" applyFont="1" applyAlignment="1">
      <alignment horizontal="center" wrapText="1"/>
    </xf>
    <xf numFmtId="0" fontId="13" fillId="0" borderId="0" xfId="0" applyFont="1" applyAlignment="1">
      <alignment horizontal="center"/>
    </xf>
    <xf numFmtId="0" fontId="14" fillId="0" borderId="0" xfId="0" applyFont="1"/>
    <xf numFmtId="0" fontId="14" fillId="0" borderId="0" xfId="0" applyFont="1" applyAlignment="1">
      <alignment horizontal="center"/>
    </xf>
    <xf numFmtId="0" fontId="15" fillId="6" borderId="0" xfId="0" applyFont="1" applyFill="1" applyAlignment="1">
      <alignment horizontal="left"/>
    </xf>
    <xf numFmtId="0" fontId="1" fillId="0" borderId="1" xfId="0" applyFont="1" applyBorder="1"/>
    <xf numFmtId="0" fontId="16" fillId="18" borderId="3" xfId="0" applyFont="1" applyFill="1" applyBorder="1" applyAlignment="1">
      <alignment horizontal="center"/>
    </xf>
    <xf numFmtId="0" fontId="16" fillId="18" borderId="4" xfId="0" applyFont="1" applyFill="1" applyBorder="1" applyAlignment="1">
      <alignment horizontal="center"/>
    </xf>
    <xf numFmtId="0" fontId="16" fillId="18" borderId="5" xfId="0" applyFont="1" applyFill="1" applyBorder="1" applyAlignment="1">
      <alignment horizontal="center"/>
    </xf>
    <xf numFmtId="0" fontId="16" fillId="2" borderId="1" xfId="0" applyFont="1" applyFill="1" applyBorder="1" applyAlignment="1">
      <alignment horizontal="center"/>
    </xf>
    <xf numFmtId="0" fontId="16" fillId="19" borderId="1" xfId="0" applyFont="1" applyFill="1" applyBorder="1" applyAlignment="1">
      <alignment horizontal="center"/>
    </xf>
    <xf numFmtId="0" fontId="16" fillId="16" borderId="1" xfId="0" applyFont="1" applyFill="1" applyBorder="1" applyAlignment="1">
      <alignment horizontal="center"/>
    </xf>
    <xf numFmtId="0" fontId="19" fillId="22" borderId="1" xfId="0" applyFont="1" applyFill="1" applyBorder="1" applyAlignment="1">
      <alignment horizontal="center" vertical="top"/>
    </xf>
    <xf numFmtId="0" fontId="21" fillId="14" borderId="1" xfId="0" applyFont="1" applyFill="1" applyBorder="1" applyAlignment="1">
      <alignment horizontal="center"/>
    </xf>
    <xf numFmtId="0" fontId="21" fillId="14" borderId="1" xfId="0" applyFont="1" applyFill="1" applyBorder="1" applyAlignment="1">
      <alignment horizontal="center" wrapText="1"/>
    </xf>
    <xf numFmtId="0" fontId="21" fillId="6" borderId="1" xfId="0" applyFont="1" applyFill="1" applyBorder="1" applyAlignment="1">
      <alignment horizontal="center" wrapText="1"/>
    </xf>
    <xf numFmtId="0" fontId="21" fillId="0" borderId="1" xfId="0" applyFont="1" applyBorder="1" applyAlignment="1">
      <alignment horizontal="center" wrapText="1"/>
    </xf>
    <xf numFmtId="0" fontId="21" fillId="0" borderId="1" xfId="0" applyFont="1" applyBorder="1" applyAlignment="1">
      <alignment horizontal="center"/>
    </xf>
    <xf numFmtId="0" fontId="21" fillId="0" borderId="1" xfId="0" applyFont="1" applyBorder="1" applyAlignment="1">
      <alignment wrapText="1"/>
    </xf>
    <xf numFmtId="0" fontId="21" fillId="24" borderId="1" xfId="0" applyFont="1" applyFill="1" applyBorder="1" applyAlignment="1">
      <alignment horizontal="center" wrapText="1"/>
    </xf>
    <xf numFmtId="0" fontId="21" fillId="6" borderId="1" xfId="0" applyFont="1" applyFill="1" applyBorder="1" applyAlignment="1">
      <alignment horizontal="left" vertical="top" wrapText="1"/>
    </xf>
    <xf numFmtId="0" fontId="22" fillId="6" borderId="1" xfId="0" applyFont="1" applyFill="1" applyBorder="1" applyAlignment="1">
      <alignment horizontal="center" wrapText="1"/>
    </xf>
    <xf numFmtId="0" fontId="22" fillId="6" borderId="1" xfId="0" applyFont="1" applyFill="1" applyBorder="1" applyAlignment="1">
      <alignment horizontal="center"/>
    </xf>
    <xf numFmtId="0" fontId="22" fillId="6" borderId="1" xfId="0" applyFont="1" applyFill="1" applyBorder="1" applyAlignment="1">
      <alignment vertical="top" wrapText="1"/>
    </xf>
    <xf numFmtId="0" fontId="23" fillId="6" borderId="1" xfId="0" applyFont="1" applyFill="1" applyBorder="1" applyAlignment="1">
      <alignment horizontal="center" vertical="top" wrapText="1"/>
    </xf>
    <xf numFmtId="0" fontId="21" fillId="25" borderId="1" xfId="0" applyFont="1" applyFill="1" applyBorder="1" applyAlignment="1">
      <alignment horizontal="left" vertical="top" wrapText="1"/>
    </xf>
    <xf numFmtId="0" fontId="24" fillId="6" borderId="1" xfId="0" applyFont="1" applyFill="1" applyBorder="1" applyAlignment="1">
      <alignment horizontal="center" wrapText="1"/>
    </xf>
    <xf numFmtId="0" fontId="24"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1" fillId="26" borderId="0" xfId="0" applyFont="1" applyFill="1"/>
    <xf numFmtId="0" fontId="27" fillId="0" borderId="0" xfId="0" applyFont="1" applyAlignment="1">
      <alignment wrapText="1"/>
    </xf>
    <xf numFmtId="0" fontId="1" fillId="5" borderId="0" xfId="0" applyFont="1" applyFill="1"/>
    <xf numFmtId="0" fontId="28" fillId="0" borderId="0" xfId="0" applyFont="1" applyAlignment="1">
      <alignment wrapText="1"/>
    </xf>
    <xf numFmtId="0" fontId="1" fillId="24" borderId="0" xfId="0" applyFont="1" applyFill="1"/>
    <xf numFmtId="0" fontId="1" fillId="6" borderId="0" xfId="0" applyFont="1" applyFill="1"/>
    <xf numFmtId="0" fontId="29" fillId="0" borderId="0" xfId="0" applyFont="1" applyAlignment="1">
      <alignment wrapText="1"/>
    </xf>
    <xf numFmtId="0" fontId="1" fillId="27" borderId="0" xfId="0" applyFont="1" applyFill="1"/>
    <xf numFmtId="0" fontId="14" fillId="0" borderId="0" xfId="0" applyFont="1" applyAlignment="1">
      <alignment horizontal="right"/>
    </xf>
    <xf numFmtId="0" fontId="31" fillId="29" borderId="1" xfId="0" applyFont="1" applyFill="1" applyBorder="1"/>
    <xf numFmtId="0" fontId="22" fillId="28" borderId="0" xfId="0" applyFont="1" applyFill="1" applyAlignment="1">
      <alignment horizontal="center" wrapText="1"/>
    </xf>
    <xf numFmtId="0" fontId="31" fillId="0" borderId="0" xfId="0" applyFont="1" applyAlignment="1">
      <alignment horizontal="center" wrapText="1"/>
    </xf>
    <xf numFmtId="0" fontId="31" fillId="0" borderId="0" xfId="0" applyFont="1"/>
    <xf numFmtId="165" fontId="31" fillId="0" borderId="0" xfId="0" applyNumberFormat="1" applyFont="1"/>
    <xf numFmtId="0" fontId="31" fillId="0" borderId="0" xfId="0" applyFont="1" applyAlignment="1">
      <alignment wrapText="1"/>
    </xf>
    <xf numFmtId="166" fontId="31" fillId="0" borderId="0" xfId="0" applyNumberFormat="1" applyFont="1"/>
    <xf numFmtId="0" fontId="31" fillId="0" borderId="0" xfId="0" applyFont="1" applyAlignment="1">
      <alignment horizontal="center" vertical="top"/>
    </xf>
    <xf numFmtId="0" fontId="19" fillId="22" borderId="3" xfId="0" applyFont="1" applyFill="1" applyBorder="1" applyAlignment="1">
      <alignment horizontal="center" vertical="top"/>
    </xf>
    <xf numFmtId="0" fontId="18" fillId="0" borderId="4" xfId="0" applyFont="1" applyBorder="1"/>
    <xf numFmtId="0" fontId="18" fillId="0" borderId="5" xfId="0" applyFont="1" applyBorder="1"/>
    <xf numFmtId="0" fontId="20" fillId="23" borderId="3" xfId="0" applyFont="1" applyFill="1" applyBorder="1" applyAlignment="1">
      <alignment horizontal="center"/>
    </xf>
    <xf numFmtId="0" fontId="17" fillId="2" borderId="3" xfId="0" applyFont="1" applyFill="1" applyBorder="1" applyAlignment="1">
      <alignment horizontal="center"/>
    </xf>
    <xf numFmtId="0" fontId="16" fillId="19" borderId="3" xfId="0" applyFont="1" applyFill="1" applyBorder="1" applyAlignment="1">
      <alignment horizontal="center"/>
    </xf>
    <xf numFmtId="0" fontId="16" fillId="16" borderId="3" xfId="0" applyFont="1" applyFill="1" applyBorder="1" applyAlignment="1">
      <alignment horizontal="center"/>
    </xf>
    <xf numFmtId="0" fontId="16" fillId="20" borderId="3" xfId="0" applyFont="1" applyFill="1" applyBorder="1" applyAlignment="1">
      <alignment horizontal="center"/>
    </xf>
    <xf numFmtId="0" fontId="19" fillId="21" borderId="3" xfId="0" applyFont="1" applyFill="1" applyBorder="1" applyAlignment="1">
      <alignment horizontal="center"/>
    </xf>
    <xf numFmtId="0" fontId="1" fillId="0" borderId="0" xfId="0" applyFont="1"/>
    <xf numFmtId="0" fontId="0" fillId="0" borderId="0" xfId="0"/>
    <xf numFmtId="0" fontId="1" fillId="24" borderId="0" xfId="0" applyFont="1" applyFill="1"/>
    <xf numFmtId="0" fontId="8" fillId="0" borderId="6" xfId="0" applyFont="1" applyBorder="1" applyAlignment="1">
      <alignment horizontal="center" wrapText="1"/>
    </xf>
    <xf numFmtId="0" fontId="18" fillId="0" borderId="7" xfId="0" applyFont="1" applyBorder="1"/>
    <xf numFmtId="0" fontId="18" fillId="0" borderId="8" xfId="0" applyFont="1" applyBorder="1"/>
    <xf numFmtId="0" fontId="8" fillId="0" borderId="6" xfId="0" applyFont="1" applyBorder="1" applyAlignment="1">
      <alignment wrapText="1"/>
    </xf>
    <xf numFmtId="0" fontId="16" fillId="10" borderId="3" xfId="0" applyFont="1" applyFill="1" applyBorder="1" applyAlignment="1">
      <alignment horizontal="center" wrapText="1"/>
    </xf>
    <xf numFmtId="0" fontId="30" fillId="0" borderId="6" xfId="0" applyFont="1" applyBorder="1" applyAlignment="1">
      <alignment horizontal="center" wrapText="1"/>
    </xf>
    <xf numFmtId="0" fontId="8" fillId="0" borderId="6" xfId="0" applyFont="1" applyBorder="1" applyAlignment="1">
      <alignment horizontal="left" wrapText="1"/>
    </xf>
    <xf numFmtId="0" fontId="31" fillId="0" borderId="6" xfId="0" applyFont="1" applyBorder="1" applyAlignment="1">
      <alignment horizontal="center" wrapText="1"/>
    </xf>
    <xf numFmtId="0" fontId="22" fillId="0" borderId="6" xfId="0" applyFont="1" applyBorder="1" applyAlignment="1">
      <alignment horizontal="center" wrapText="1"/>
    </xf>
    <xf numFmtId="0" fontId="21" fillId="2" borderId="6" xfId="0" applyFont="1" applyFill="1" applyBorder="1" applyAlignment="1">
      <alignment horizontal="center" vertical="top" wrapText="1"/>
    </xf>
    <xf numFmtId="0" fontId="22" fillId="28" borderId="3" xfId="0" applyFont="1" applyFill="1" applyBorder="1" applyAlignment="1">
      <alignment horizontal="center" wrapText="1"/>
    </xf>
    <xf numFmtId="0" fontId="22" fillId="29" borderId="3" xfId="0" applyFont="1" applyFill="1" applyBorder="1" applyAlignment="1">
      <alignment horizontal="center" wrapText="1"/>
    </xf>
    <xf numFmtId="0" fontId="22" fillId="29" borderId="3" xfId="0" applyFont="1" applyFill="1" applyBorder="1" applyAlignment="1">
      <alignment horizontal="center"/>
    </xf>
    <xf numFmtId="0" fontId="31" fillId="0" borderId="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ail.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932"/>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4" max="4" width="14.7109375" customWidth="1"/>
    <col min="8" max="8" width="7.85546875" customWidth="1"/>
    <col min="9" max="9" width="27.42578125" customWidth="1"/>
    <col min="11" max="11" width="11" customWidth="1"/>
    <col min="12" max="12" width="22.85546875" customWidth="1"/>
    <col min="13" max="13" width="14.140625" customWidth="1"/>
    <col min="14" max="14" width="11.5703125" customWidth="1"/>
    <col min="15" max="15" width="11.7109375" customWidth="1"/>
    <col min="28" max="28" width="14.85546875" customWidth="1"/>
    <col min="31" max="31" width="14.42578125" customWidth="1"/>
  </cols>
  <sheetData>
    <row r="1" spans="1:41" ht="42.75" customHeight="1" x14ac:dyDescent="0.2">
      <c r="B1" s="1"/>
      <c r="C1" s="2" t="s">
        <v>0</v>
      </c>
      <c r="D1" s="2" t="s">
        <v>1</v>
      </c>
      <c r="E1" s="2" t="s">
        <v>2</v>
      </c>
      <c r="F1" s="2" t="s">
        <v>3</v>
      </c>
      <c r="G1" s="3" t="s">
        <v>4</v>
      </c>
      <c r="H1" s="2" t="s">
        <v>5</v>
      </c>
      <c r="I1" s="2" t="s">
        <v>6</v>
      </c>
      <c r="J1" s="2" t="s">
        <v>7</v>
      </c>
      <c r="K1" s="2" t="s">
        <v>8</v>
      </c>
      <c r="L1" s="4" t="s">
        <v>9</v>
      </c>
      <c r="M1" s="2" t="s">
        <v>10</v>
      </c>
      <c r="N1" s="2" t="s">
        <v>11</v>
      </c>
      <c r="O1" s="2" t="s">
        <v>12</v>
      </c>
      <c r="P1" s="2" t="s">
        <v>13</v>
      </c>
      <c r="Q1" s="2" t="s">
        <v>14</v>
      </c>
      <c r="R1" s="2" t="s">
        <v>15</v>
      </c>
      <c r="S1" s="2" t="s">
        <v>16</v>
      </c>
      <c r="T1" s="2" t="s">
        <v>17</v>
      </c>
      <c r="U1" s="2" t="s">
        <v>18</v>
      </c>
      <c r="V1" s="2" t="s">
        <v>19</v>
      </c>
      <c r="W1" s="2" t="s">
        <v>20</v>
      </c>
      <c r="X1" s="2" t="s">
        <v>21</v>
      </c>
      <c r="Y1" s="2" t="s">
        <v>22</v>
      </c>
      <c r="Z1" s="5" t="s">
        <v>23</v>
      </c>
      <c r="AA1" s="2" t="s">
        <v>24</v>
      </c>
      <c r="AB1" s="2" t="s">
        <v>25</v>
      </c>
      <c r="AC1" s="2" t="s">
        <v>26</v>
      </c>
      <c r="AD1" s="2" t="s">
        <v>27</v>
      </c>
      <c r="AE1" s="2" t="s">
        <v>28</v>
      </c>
      <c r="AF1" s="2" t="s">
        <v>29</v>
      </c>
      <c r="AG1" s="6" t="s">
        <v>30</v>
      </c>
      <c r="AH1" s="2" t="s">
        <v>31</v>
      </c>
      <c r="AI1" s="2" t="s">
        <v>32</v>
      </c>
      <c r="AJ1" s="2" t="s">
        <v>33</v>
      </c>
      <c r="AK1" s="2" t="s">
        <v>34</v>
      </c>
      <c r="AL1" s="2" t="s">
        <v>35</v>
      </c>
      <c r="AM1" s="7"/>
      <c r="AN1" s="7"/>
      <c r="AO1" s="7"/>
    </row>
    <row r="2" spans="1:41" ht="12.75" x14ac:dyDescent="0.2">
      <c r="A2" s="8" t="s">
        <v>36</v>
      </c>
      <c r="B2" s="9" t="s">
        <v>37</v>
      </c>
      <c r="E2" s="10"/>
      <c r="F2" s="11"/>
      <c r="G2" s="11"/>
      <c r="H2" s="10"/>
      <c r="I2" s="10"/>
      <c r="J2" s="10"/>
      <c r="K2" s="10"/>
      <c r="L2" s="10"/>
      <c r="M2" s="10"/>
      <c r="N2" s="10"/>
      <c r="O2" s="10"/>
      <c r="P2" s="10"/>
      <c r="Q2" s="10"/>
      <c r="R2" s="10"/>
      <c r="S2" s="10"/>
      <c r="T2" s="10"/>
      <c r="U2" s="10"/>
      <c r="V2" s="10"/>
      <c r="W2" s="10"/>
      <c r="X2" s="10"/>
      <c r="Y2" s="10"/>
      <c r="Z2" s="10"/>
      <c r="AA2" s="10"/>
      <c r="AB2" s="10"/>
      <c r="AC2" s="10"/>
      <c r="AD2" s="10"/>
      <c r="AE2" s="10"/>
      <c r="AF2" s="10"/>
      <c r="AG2" s="12"/>
      <c r="AH2" s="10"/>
      <c r="AI2" s="10"/>
      <c r="AJ2" s="10"/>
      <c r="AK2" s="10"/>
      <c r="AL2" s="10"/>
      <c r="AM2" s="10"/>
      <c r="AN2" s="10"/>
      <c r="AO2" s="10"/>
    </row>
    <row r="3" spans="1:41" ht="22.5" x14ac:dyDescent="0.2">
      <c r="A3" s="13" t="s">
        <v>38</v>
      </c>
      <c r="B3" s="14">
        <v>21</v>
      </c>
      <c r="E3" s="14"/>
      <c r="F3" s="15"/>
      <c r="G3" s="15"/>
      <c r="H3" s="14"/>
      <c r="I3" s="14"/>
      <c r="J3" s="14"/>
      <c r="K3" s="14"/>
      <c r="L3" s="14"/>
      <c r="M3" s="14"/>
      <c r="N3" s="14"/>
      <c r="O3" s="14"/>
      <c r="P3" s="14"/>
      <c r="Q3" s="14"/>
      <c r="R3" s="14"/>
      <c r="S3" s="14"/>
      <c r="T3" s="14"/>
      <c r="U3" s="14"/>
      <c r="V3" s="14"/>
      <c r="W3" s="14"/>
      <c r="X3" s="14"/>
      <c r="Y3" s="14"/>
      <c r="Z3" s="14"/>
      <c r="AA3" s="14"/>
      <c r="AB3" s="14"/>
      <c r="AC3" s="14"/>
      <c r="AD3" s="14"/>
      <c r="AE3" s="14"/>
      <c r="AF3" s="14"/>
      <c r="AG3" s="16"/>
      <c r="AH3" s="14"/>
      <c r="AI3" s="14"/>
      <c r="AJ3" s="14"/>
      <c r="AK3" s="14"/>
      <c r="AL3" s="14"/>
      <c r="AM3" s="14"/>
      <c r="AN3" s="14"/>
      <c r="AO3" s="14"/>
    </row>
    <row r="4" spans="1:41" ht="22.5" x14ac:dyDescent="0.2">
      <c r="A4" s="13" t="s">
        <v>39</v>
      </c>
      <c r="B4" s="14">
        <v>21</v>
      </c>
      <c r="E4" s="14"/>
      <c r="F4" s="15"/>
      <c r="G4" s="15"/>
      <c r="H4" s="14"/>
      <c r="I4" s="14"/>
      <c r="J4" s="14"/>
      <c r="K4" s="14"/>
      <c r="L4" s="14"/>
      <c r="M4" s="14"/>
      <c r="N4" s="14"/>
      <c r="O4" s="14"/>
      <c r="P4" s="14"/>
      <c r="Q4" s="14"/>
      <c r="R4" s="14"/>
      <c r="S4" s="14"/>
      <c r="T4" s="14"/>
      <c r="U4" s="14"/>
      <c r="V4" s="14"/>
      <c r="W4" s="14"/>
      <c r="X4" s="14"/>
      <c r="Y4" s="14"/>
      <c r="Z4" s="14"/>
      <c r="AA4" s="14"/>
      <c r="AB4" s="14"/>
      <c r="AC4" s="14"/>
      <c r="AD4" s="14"/>
      <c r="AE4" s="14"/>
      <c r="AF4" s="14"/>
      <c r="AG4" s="16"/>
      <c r="AH4" s="14"/>
      <c r="AI4" s="14"/>
      <c r="AJ4" s="14"/>
      <c r="AK4" s="14"/>
      <c r="AL4" s="14"/>
      <c r="AM4" s="14"/>
      <c r="AN4" s="14"/>
      <c r="AO4" s="14"/>
    </row>
    <row r="5" spans="1:41" ht="12.75" x14ac:dyDescent="0.2">
      <c r="A5" s="17"/>
      <c r="B5" s="18" t="s">
        <v>40</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row>
    <row r="6" spans="1:41" ht="12.75" x14ac:dyDescent="0.2">
      <c r="A6" s="17"/>
      <c r="B6" s="18">
        <v>1</v>
      </c>
      <c r="C6" s="17" t="s">
        <v>41</v>
      </c>
      <c r="D6" s="17" t="s">
        <v>42</v>
      </c>
      <c r="E6" s="17" t="s">
        <v>43</v>
      </c>
      <c r="F6" s="17"/>
      <c r="G6" s="17" t="s">
        <v>44</v>
      </c>
      <c r="H6" s="18">
        <v>36</v>
      </c>
      <c r="I6" s="17" t="s">
        <v>45</v>
      </c>
      <c r="J6" s="17"/>
      <c r="K6" s="19">
        <v>8100089440</v>
      </c>
      <c r="L6" s="20" t="s">
        <v>46</v>
      </c>
      <c r="M6" s="17"/>
      <c r="N6" s="17"/>
      <c r="O6" s="17"/>
      <c r="P6" s="17" t="s">
        <v>47</v>
      </c>
      <c r="Q6" s="17" t="s">
        <v>48</v>
      </c>
      <c r="R6" s="17" t="s">
        <v>49</v>
      </c>
      <c r="S6" s="17"/>
      <c r="T6" s="17"/>
      <c r="U6" s="17"/>
      <c r="V6" s="17"/>
      <c r="W6" s="17"/>
      <c r="X6" s="17"/>
      <c r="Y6" s="17"/>
      <c r="Z6" s="17" t="e">
        <f t="shared" ref="Z6:Z31" si="0">X6/Y6</f>
        <v>#DIV/0!</v>
      </c>
      <c r="AA6" s="17"/>
      <c r="AB6" s="17"/>
      <c r="AC6" s="17"/>
      <c r="AD6" s="17"/>
      <c r="AE6" s="17"/>
      <c r="AF6" s="17"/>
      <c r="AG6" s="17"/>
      <c r="AH6" s="17"/>
      <c r="AI6" s="17"/>
      <c r="AJ6" s="17"/>
      <c r="AK6" s="17"/>
      <c r="AL6" s="17"/>
      <c r="AM6" s="17"/>
      <c r="AN6" s="17"/>
      <c r="AO6" s="17"/>
    </row>
    <row r="7" spans="1:41" ht="12.75" x14ac:dyDescent="0.2">
      <c r="A7" s="17"/>
      <c r="B7" s="18">
        <v>2</v>
      </c>
      <c r="C7" s="17" t="s">
        <v>50</v>
      </c>
      <c r="D7" s="17" t="s">
        <v>51</v>
      </c>
      <c r="E7" s="17" t="s">
        <v>43</v>
      </c>
      <c r="F7" s="17"/>
      <c r="G7" s="17" t="s">
        <v>52</v>
      </c>
      <c r="H7" s="18">
        <v>26</v>
      </c>
      <c r="I7" s="17" t="s">
        <v>53</v>
      </c>
      <c r="J7" s="17"/>
      <c r="K7" s="19">
        <v>8334027696</v>
      </c>
      <c r="L7" s="20" t="s">
        <v>54</v>
      </c>
      <c r="M7" s="17"/>
      <c r="N7" s="17"/>
      <c r="O7" s="17"/>
      <c r="P7" s="17" t="s">
        <v>47</v>
      </c>
      <c r="Q7" s="17" t="s">
        <v>55</v>
      </c>
      <c r="R7" s="17" t="s">
        <v>49</v>
      </c>
      <c r="S7" s="17"/>
      <c r="T7" s="17"/>
      <c r="U7" s="17"/>
      <c r="V7" s="17"/>
      <c r="W7" s="17"/>
      <c r="X7" s="17"/>
      <c r="Y7" s="17"/>
      <c r="Z7" s="17" t="e">
        <f t="shared" si="0"/>
        <v>#DIV/0!</v>
      </c>
      <c r="AA7" s="17"/>
      <c r="AB7" s="17"/>
      <c r="AC7" s="17"/>
      <c r="AD7" s="17"/>
      <c r="AE7" s="17"/>
      <c r="AF7" s="17"/>
      <c r="AG7" s="17"/>
      <c r="AH7" s="17"/>
      <c r="AI7" s="17"/>
      <c r="AJ7" s="17"/>
      <c r="AK7" s="17"/>
      <c r="AL7" s="17"/>
      <c r="AM7" s="17"/>
      <c r="AN7" s="17"/>
      <c r="AO7" s="17"/>
    </row>
    <row r="8" spans="1:41" ht="12.75" x14ac:dyDescent="0.2">
      <c r="A8" s="17"/>
      <c r="B8" s="18">
        <v>3</v>
      </c>
      <c r="C8" s="17" t="s">
        <v>56</v>
      </c>
      <c r="D8" s="17" t="s">
        <v>57</v>
      </c>
      <c r="E8" s="17" t="s">
        <v>43</v>
      </c>
      <c r="F8" s="17"/>
      <c r="G8" s="17" t="s">
        <v>58</v>
      </c>
      <c r="H8" s="18">
        <v>22</v>
      </c>
      <c r="I8" s="17" t="s">
        <v>59</v>
      </c>
      <c r="J8" s="17"/>
      <c r="K8" s="19">
        <v>9163880484</v>
      </c>
      <c r="L8" s="20" t="s">
        <v>54</v>
      </c>
      <c r="M8" s="17"/>
      <c r="N8" s="17"/>
      <c r="O8" s="17"/>
      <c r="P8" s="17" t="s">
        <v>60</v>
      </c>
      <c r="Q8" s="17" t="s">
        <v>61</v>
      </c>
      <c r="R8" s="17" t="s">
        <v>49</v>
      </c>
      <c r="S8" s="17"/>
      <c r="T8" s="17"/>
      <c r="U8" s="17"/>
      <c r="V8" s="17"/>
      <c r="W8" s="17"/>
      <c r="X8" s="17"/>
      <c r="Y8" s="17"/>
      <c r="Z8" s="17" t="e">
        <f t="shared" si="0"/>
        <v>#DIV/0!</v>
      </c>
      <c r="AA8" s="17"/>
      <c r="AB8" s="17"/>
      <c r="AC8" s="17"/>
      <c r="AD8" s="17"/>
      <c r="AE8" s="17"/>
      <c r="AF8" s="17"/>
      <c r="AG8" s="17"/>
      <c r="AH8" s="17"/>
      <c r="AI8" s="17"/>
      <c r="AJ8" s="17"/>
      <c r="AK8" s="17"/>
      <c r="AL8" s="17"/>
      <c r="AM8" s="17"/>
      <c r="AN8" s="17"/>
      <c r="AO8" s="17"/>
    </row>
    <row r="9" spans="1:41" ht="12.75" x14ac:dyDescent="0.2">
      <c r="A9" s="17"/>
      <c r="B9" s="18">
        <v>4</v>
      </c>
      <c r="C9" s="17" t="s">
        <v>62</v>
      </c>
      <c r="D9" s="17" t="s">
        <v>63</v>
      </c>
      <c r="E9" s="17" t="s">
        <v>43</v>
      </c>
      <c r="F9" s="17"/>
      <c r="G9" s="17" t="s">
        <v>64</v>
      </c>
      <c r="H9" s="18">
        <v>28</v>
      </c>
      <c r="I9" s="17" t="s">
        <v>65</v>
      </c>
      <c r="J9" s="17"/>
      <c r="K9" s="19">
        <v>6289265410</v>
      </c>
      <c r="L9" s="20" t="s">
        <v>54</v>
      </c>
      <c r="M9" s="17"/>
      <c r="N9" s="17"/>
      <c r="O9" s="17"/>
      <c r="P9" s="17" t="s">
        <v>47</v>
      </c>
      <c r="Q9" s="17" t="s">
        <v>55</v>
      </c>
      <c r="R9" s="17" t="s">
        <v>49</v>
      </c>
      <c r="S9" s="17"/>
      <c r="T9" s="17"/>
      <c r="U9" s="17"/>
      <c r="V9" s="17"/>
      <c r="W9" s="17"/>
      <c r="X9" s="17"/>
      <c r="Y9" s="17"/>
      <c r="Z9" s="17" t="e">
        <f t="shared" si="0"/>
        <v>#DIV/0!</v>
      </c>
      <c r="AA9" s="17"/>
      <c r="AB9" s="17"/>
      <c r="AC9" s="17"/>
      <c r="AD9" s="17"/>
      <c r="AE9" s="17"/>
      <c r="AF9" s="17"/>
      <c r="AG9" s="17"/>
      <c r="AH9" s="17"/>
      <c r="AI9" s="17"/>
      <c r="AJ9" s="17"/>
      <c r="AK9" s="17"/>
      <c r="AL9" s="17"/>
      <c r="AM9" s="17"/>
      <c r="AN9" s="17"/>
      <c r="AO9" s="17"/>
    </row>
    <row r="10" spans="1:41" ht="12.75" x14ac:dyDescent="0.2">
      <c r="A10" s="17"/>
      <c r="B10" s="18">
        <v>5</v>
      </c>
      <c r="C10" s="17" t="s">
        <v>66</v>
      </c>
      <c r="D10" s="17" t="s">
        <v>67</v>
      </c>
      <c r="E10" s="17" t="s">
        <v>43</v>
      </c>
      <c r="F10" s="17"/>
      <c r="G10" s="17" t="s">
        <v>68</v>
      </c>
      <c r="H10" s="18">
        <v>23</v>
      </c>
      <c r="I10" s="17" t="s">
        <v>69</v>
      </c>
      <c r="J10" s="17"/>
      <c r="K10" s="19">
        <v>7439565383</v>
      </c>
      <c r="L10" s="20" t="s">
        <v>54</v>
      </c>
      <c r="M10" s="17"/>
      <c r="N10" s="17"/>
      <c r="O10" s="17" t="s">
        <v>70</v>
      </c>
      <c r="P10" s="17" t="s">
        <v>47</v>
      </c>
      <c r="Q10" s="17" t="s">
        <v>61</v>
      </c>
      <c r="R10" s="17" t="s">
        <v>49</v>
      </c>
      <c r="S10" s="17"/>
      <c r="T10" s="17"/>
      <c r="U10" s="17"/>
      <c r="V10" s="17"/>
      <c r="W10" s="17"/>
      <c r="X10" s="17"/>
      <c r="Y10" s="17"/>
      <c r="Z10" s="17" t="e">
        <f t="shared" si="0"/>
        <v>#DIV/0!</v>
      </c>
      <c r="AA10" s="17"/>
      <c r="AB10" s="17"/>
      <c r="AC10" s="17"/>
      <c r="AD10" s="17"/>
      <c r="AE10" s="17"/>
      <c r="AF10" s="17"/>
      <c r="AG10" s="17"/>
      <c r="AH10" s="17"/>
      <c r="AI10" s="17"/>
      <c r="AJ10" s="17"/>
      <c r="AK10" s="17"/>
      <c r="AL10" s="17"/>
      <c r="AM10" s="17"/>
      <c r="AN10" s="17"/>
      <c r="AO10" s="17"/>
    </row>
    <row r="11" spans="1:41" ht="12.75" x14ac:dyDescent="0.2">
      <c r="A11" s="17"/>
      <c r="B11" s="18">
        <v>6</v>
      </c>
      <c r="C11" s="17" t="s">
        <v>71</v>
      </c>
      <c r="D11" s="17" t="s">
        <v>72</v>
      </c>
      <c r="E11" s="17" t="s">
        <v>43</v>
      </c>
      <c r="F11" s="17"/>
      <c r="G11" s="17" t="s">
        <v>73</v>
      </c>
      <c r="H11" s="18">
        <v>21</v>
      </c>
      <c r="I11" s="17" t="s">
        <v>74</v>
      </c>
      <c r="J11" s="17"/>
      <c r="K11" s="17" t="s">
        <v>75</v>
      </c>
      <c r="L11" s="20" t="s">
        <v>54</v>
      </c>
      <c r="M11" s="17"/>
      <c r="N11" s="17"/>
      <c r="O11" s="17"/>
      <c r="P11" s="17" t="s">
        <v>60</v>
      </c>
      <c r="Q11" s="17" t="s">
        <v>61</v>
      </c>
      <c r="R11" s="17" t="s">
        <v>49</v>
      </c>
      <c r="S11" s="17"/>
      <c r="T11" s="17"/>
      <c r="U11" s="17"/>
      <c r="V11" s="17"/>
      <c r="W11" s="17"/>
      <c r="X11" s="17"/>
      <c r="Y11" s="17"/>
      <c r="Z11" s="17" t="e">
        <f t="shared" si="0"/>
        <v>#DIV/0!</v>
      </c>
      <c r="AA11" s="17"/>
      <c r="AB11" s="17"/>
      <c r="AC11" s="17"/>
      <c r="AD11" s="17"/>
      <c r="AE11" s="17"/>
      <c r="AF11" s="17"/>
      <c r="AG11" s="17"/>
      <c r="AH11" s="17"/>
      <c r="AI11" s="17"/>
      <c r="AJ11" s="17"/>
      <c r="AK11" s="17"/>
      <c r="AL11" s="17"/>
      <c r="AM11" s="17"/>
      <c r="AN11" s="17"/>
      <c r="AO11" s="17"/>
    </row>
    <row r="12" spans="1:41" ht="12.75" x14ac:dyDescent="0.2">
      <c r="A12" s="17"/>
      <c r="B12" s="18">
        <v>7</v>
      </c>
      <c r="C12" s="17" t="s">
        <v>76</v>
      </c>
      <c r="D12" s="17" t="s">
        <v>77</v>
      </c>
      <c r="E12" s="17" t="s">
        <v>78</v>
      </c>
      <c r="F12" s="17"/>
      <c r="G12" s="17" t="s">
        <v>79</v>
      </c>
      <c r="H12" s="18">
        <v>42</v>
      </c>
      <c r="I12" s="17" t="s">
        <v>80</v>
      </c>
      <c r="J12" s="17"/>
      <c r="K12" s="19">
        <v>9830650882</v>
      </c>
      <c r="L12" s="20" t="s">
        <v>81</v>
      </c>
      <c r="M12" s="17" t="s">
        <v>82</v>
      </c>
      <c r="N12" s="17"/>
      <c r="O12" s="17"/>
      <c r="P12" s="17" t="s">
        <v>60</v>
      </c>
      <c r="Q12" s="17" t="s">
        <v>61</v>
      </c>
      <c r="R12" s="17" t="s">
        <v>83</v>
      </c>
      <c r="S12" s="17"/>
      <c r="T12" s="17"/>
      <c r="U12" s="17"/>
      <c r="V12" s="17"/>
      <c r="W12" s="17"/>
      <c r="X12" s="17"/>
      <c r="Y12" s="17"/>
      <c r="Z12" s="17" t="e">
        <f t="shared" si="0"/>
        <v>#DIV/0!</v>
      </c>
      <c r="AA12" s="17"/>
      <c r="AB12" s="17"/>
      <c r="AC12" s="17"/>
      <c r="AD12" s="17"/>
      <c r="AE12" s="17"/>
      <c r="AF12" s="17"/>
      <c r="AG12" s="17"/>
      <c r="AH12" s="17"/>
      <c r="AI12" s="17"/>
      <c r="AJ12" s="17"/>
      <c r="AK12" s="17"/>
      <c r="AL12" s="17"/>
      <c r="AM12" s="17"/>
      <c r="AN12" s="17"/>
      <c r="AO12" s="17"/>
    </row>
    <row r="13" spans="1:41" ht="12.75" x14ac:dyDescent="0.2">
      <c r="A13" s="17"/>
      <c r="B13" s="18">
        <v>8</v>
      </c>
      <c r="C13" s="17" t="s">
        <v>84</v>
      </c>
      <c r="D13" s="17" t="s">
        <v>85</v>
      </c>
      <c r="E13" s="17" t="s">
        <v>43</v>
      </c>
      <c r="F13" s="17"/>
      <c r="G13" s="17" t="s">
        <v>86</v>
      </c>
      <c r="H13" s="18">
        <v>30</v>
      </c>
      <c r="I13" s="17" t="s">
        <v>87</v>
      </c>
      <c r="J13" s="17"/>
      <c r="K13" s="19">
        <v>9007521756</v>
      </c>
      <c r="L13" s="20" t="s">
        <v>81</v>
      </c>
      <c r="M13" s="17" t="s">
        <v>82</v>
      </c>
      <c r="N13" s="17"/>
      <c r="O13" s="17"/>
      <c r="P13" s="17" t="s">
        <v>47</v>
      </c>
      <c r="Q13" s="17" t="s">
        <v>61</v>
      </c>
      <c r="R13" s="17" t="s">
        <v>83</v>
      </c>
      <c r="S13" s="17"/>
      <c r="T13" s="17"/>
      <c r="U13" s="17"/>
      <c r="V13" s="17"/>
      <c r="W13" s="17"/>
      <c r="X13" s="17"/>
      <c r="Y13" s="17"/>
      <c r="Z13" s="17" t="e">
        <f t="shared" si="0"/>
        <v>#DIV/0!</v>
      </c>
      <c r="AA13" s="17"/>
      <c r="AB13" s="17"/>
      <c r="AC13" s="17"/>
      <c r="AD13" s="17"/>
      <c r="AE13" s="17"/>
      <c r="AF13" s="17"/>
      <c r="AG13" s="17"/>
      <c r="AH13" s="17"/>
      <c r="AI13" s="17"/>
      <c r="AJ13" s="17"/>
      <c r="AK13" s="17"/>
      <c r="AL13" s="17"/>
      <c r="AM13" s="17"/>
      <c r="AN13" s="17"/>
      <c r="AO13" s="17"/>
    </row>
    <row r="14" spans="1:41" ht="12.75" x14ac:dyDescent="0.2">
      <c r="A14" s="17"/>
      <c r="B14" s="18">
        <v>9</v>
      </c>
      <c r="C14" s="17" t="s">
        <v>88</v>
      </c>
      <c r="D14" s="17" t="s">
        <v>89</v>
      </c>
      <c r="E14" s="17" t="s">
        <v>43</v>
      </c>
      <c r="F14" s="17"/>
      <c r="G14" s="17" t="s">
        <v>90</v>
      </c>
      <c r="H14" s="18">
        <v>42</v>
      </c>
      <c r="I14" s="17" t="s">
        <v>91</v>
      </c>
      <c r="J14" s="17"/>
      <c r="K14" s="19">
        <v>6289109203</v>
      </c>
      <c r="L14" s="20" t="s">
        <v>81</v>
      </c>
      <c r="M14" s="17" t="s">
        <v>82</v>
      </c>
      <c r="N14" s="17"/>
      <c r="O14" s="17"/>
      <c r="P14" s="17" t="s">
        <v>47</v>
      </c>
      <c r="Q14" s="17" t="s">
        <v>61</v>
      </c>
      <c r="R14" s="17" t="s">
        <v>92</v>
      </c>
      <c r="S14" s="17"/>
      <c r="T14" s="17"/>
      <c r="U14" s="17"/>
      <c r="V14" s="17"/>
      <c r="W14" s="17"/>
      <c r="X14" s="17"/>
      <c r="Y14" s="17"/>
      <c r="Z14" s="17" t="e">
        <f t="shared" si="0"/>
        <v>#DIV/0!</v>
      </c>
      <c r="AA14" s="17"/>
      <c r="AB14" s="17"/>
      <c r="AC14" s="17"/>
      <c r="AD14" s="17"/>
      <c r="AE14" s="17"/>
      <c r="AF14" s="17"/>
      <c r="AG14" s="17"/>
      <c r="AH14" s="17"/>
      <c r="AI14" s="17"/>
      <c r="AJ14" s="17"/>
      <c r="AK14" s="17"/>
      <c r="AL14" s="17"/>
      <c r="AM14" s="17"/>
      <c r="AN14" s="17"/>
      <c r="AO14" s="17"/>
    </row>
    <row r="15" spans="1:41" ht="12.75" x14ac:dyDescent="0.2">
      <c r="A15" s="17"/>
      <c r="B15" s="18">
        <v>10</v>
      </c>
      <c r="C15" s="17" t="s">
        <v>93</v>
      </c>
      <c r="D15" s="17" t="s">
        <v>94</v>
      </c>
      <c r="E15" s="17" t="s">
        <v>43</v>
      </c>
      <c r="F15" s="17"/>
      <c r="G15" s="17" t="s">
        <v>95</v>
      </c>
      <c r="H15" s="18">
        <v>28</v>
      </c>
      <c r="I15" s="17" t="s">
        <v>96</v>
      </c>
      <c r="J15" s="17"/>
      <c r="K15" s="19">
        <v>8336811911</v>
      </c>
      <c r="L15" s="20" t="s">
        <v>46</v>
      </c>
      <c r="M15" s="17"/>
      <c r="N15" s="17"/>
      <c r="O15" s="17"/>
      <c r="P15" s="17" t="s">
        <v>47</v>
      </c>
      <c r="Q15" s="17" t="s">
        <v>48</v>
      </c>
      <c r="R15" s="17" t="s">
        <v>83</v>
      </c>
      <c r="S15" s="17"/>
      <c r="T15" s="17"/>
      <c r="U15" s="17"/>
      <c r="V15" s="17"/>
      <c r="W15" s="17"/>
      <c r="X15" s="17"/>
      <c r="Y15" s="17"/>
      <c r="Z15" s="17" t="e">
        <f t="shared" si="0"/>
        <v>#DIV/0!</v>
      </c>
      <c r="AA15" s="17"/>
      <c r="AB15" s="17"/>
      <c r="AC15" s="17"/>
      <c r="AD15" s="17"/>
      <c r="AE15" s="17"/>
      <c r="AF15" s="17"/>
      <c r="AG15" s="17"/>
      <c r="AH15" s="17"/>
      <c r="AI15" s="17"/>
      <c r="AJ15" s="17"/>
      <c r="AK15" s="17"/>
      <c r="AL15" s="17"/>
      <c r="AM15" s="17"/>
      <c r="AN15" s="17"/>
      <c r="AO15" s="17"/>
    </row>
    <row r="16" spans="1:41" ht="12.75" x14ac:dyDescent="0.2">
      <c r="A16" s="17"/>
      <c r="B16" s="18">
        <v>11</v>
      </c>
      <c r="C16" s="17" t="s">
        <v>97</v>
      </c>
      <c r="D16" s="17" t="s">
        <v>98</v>
      </c>
      <c r="E16" s="17" t="s">
        <v>43</v>
      </c>
      <c r="F16" s="17"/>
      <c r="G16" s="17" t="s">
        <v>99</v>
      </c>
      <c r="H16" s="18">
        <v>20</v>
      </c>
      <c r="I16" s="17" t="s">
        <v>100</v>
      </c>
      <c r="J16" s="17"/>
      <c r="K16" s="17" t="s">
        <v>101</v>
      </c>
      <c r="L16" s="20" t="s">
        <v>81</v>
      </c>
      <c r="M16" s="17"/>
      <c r="N16" s="17"/>
      <c r="O16" s="17"/>
      <c r="P16" s="17" t="s">
        <v>47</v>
      </c>
      <c r="Q16" s="17" t="s">
        <v>48</v>
      </c>
      <c r="R16" s="17" t="s">
        <v>49</v>
      </c>
      <c r="S16" s="17"/>
      <c r="T16" s="17"/>
      <c r="U16" s="17"/>
      <c r="V16" s="17"/>
      <c r="W16" s="17"/>
      <c r="X16" s="17"/>
      <c r="Y16" s="17"/>
      <c r="Z16" s="17" t="e">
        <f t="shared" si="0"/>
        <v>#DIV/0!</v>
      </c>
      <c r="AA16" s="17"/>
      <c r="AB16" s="17"/>
      <c r="AC16" s="17"/>
      <c r="AD16" s="17"/>
      <c r="AE16" s="17"/>
      <c r="AF16" s="17"/>
      <c r="AG16" s="17"/>
      <c r="AH16" s="17"/>
      <c r="AI16" s="17"/>
      <c r="AJ16" s="17"/>
      <c r="AK16" s="17"/>
      <c r="AL16" s="17"/>
      <c r="AM16" s="17"/>
      <c r="AN16" s="17"/>
      <c r="AO16" s="17"/>
    </row>
    <row r="17" spans="1:41" ht="12.75" x14ac:dyDescent="0.2">
      <c r="A17" s="17"/>
      <c r="B17" s="18">
        <v>12</v>
      </c>
      <c r="C17" s="17" t="s">
        <v>102</v>
      </c>
      <c r="D17" s="17" t="s">
        <v>103</v>
      </c>
      <c r="E17" s="17" t="s">
        <v>43</v>
      </c>
      <c r="F17" s="17"/>
      <c r="G17" s="17" t="s">
        <v>104</v>
      </c>
      <c r="H17" s="18">
        <v>18</v>
      </c>
      <c r="I17" s="17" t="s">
        <v>105</v>
      </c>
      <c r="J17" s="17"/>
      <c r="K17" s="19">
        <v>8910407525</v>
      </c>
      <c r="L17" s="20"/>
      <c r="M17" s="17"/>
      <c r="N17" s="17"/>
      <c r="O17" s="17"/>
      <c r="P17" s="17" t="s">
        <v>47</v>
      </c>
      <c r="Q17" s="17" t="s">
        <v>48</v>
      </c>
      <c r="R17" s="17" t="s">
        <v>49</v>
      </c>
      <c r="S17" s="17"/>
      <c r="T17" s="17"/>
      <c r="U17" s="17"/>
      <c r="V17" s="17"/>
      <c r="W17" s="17"/>
      <c r="X17" s="17"/>
      <c r="Y17" s="17"/>
      <c r="Z17" s="17" t="e">
        <f t="shared" si="0"/>
        <v>#DIV/0!</v>
      </c>
      <c r="AA17" s="17"/>
      <c r="AB17" s="17"/>
      <c r="AC17" s="17"/>
      <c r="AD17" s="17"/>
      <c r="AE17" s="17"/>
      <c r="AF17" s="17"/>
      <c r="AG17" s="17"/>
      <c r="AH17" s="17"/>
      <c r="AI17" s="17"/>
      <c r="AJ17" s="17"/>
      <c r="AK17" s="17"/>
      <c r="AL17" s="17"/>
      <c r="AM17" s="17"/>
      <c r="AN17" s="17"/>
      <c r="AO17" s="17"/>
    </row>
    <row r="18" spans="1:41" ht="12.75" x14ac:dyDescent="0.2">
      <c r="A18" s="17"/>
      <c r="B18" s="18">
        <v>13</v>
      </c>
      <c r="C18" s="17" t="s">
        <v>106</v>
      </c>
      <c r="D18" s="17" t="s">
        <v>107</v>
      </c>
      <c r="E18" s="17" t="s">
        <v>43</v>
      </c>
      <c r="F18" s="17"/>
      <c r="G18" s="17" t="s">
        <v>108</v>
      </c>
      <c r="H18" s="18">
        <v>19</v>
      </c>
      <c r="I18" s="17" t="s">
        <v>109</v>
      </c>
      <c r="J18" s="17"/>
      <c r="K18" s="19">
        <v>8276877065</v>
      </c>
      <c r="L18" s="20"/>
      <c r="M18" s="17"/>
      <c r="N18" s="17"/>
      <c r="O18" s="17"/>
      <c r="P18" s="17" t="s">
        <v>47</v>
      </c>
      <c r="Q18" s="17" t="s">
        <v>48</v>
      </c>
      <c r="R18" s="17" t="s">
        <v>49</v>
      </c>
      <c r="S18" s="17"/>
      <c r="T18" s="17"/>
      <c r="U18" s="17"/>
      <c r="V18" s="17"/>
      <c r="W18" s="17"/>
      <c r="X18" s="17"/>
      <c r="Y18" s="17"/>
      <c r="Z18" s="17" t="e">
        <f t="shared" si="0"/>
        <v>#DIV/0!</v>
      </c>
      <c r="AA18" s="17"/>
      <c r="AB18" s="17"/>
      <c r="AC18" s="17"/>
      <c r="AD18" s="17"/>
      <c r="AE18" s="17"/>
      <c r="AF18" s="17"/>
      <c r="AG18" s="17"/>
      <c r="AH18" s="17"/>
      <c r="AI18" s="17"/>
      <c r="AJ18" s="17"/>
      <c r="AK18" s="17"/>
      <c r="AL18" s="17"/>
      <c r="AM18" s="17"/>
      <c r="AN18" s="17"/>
      <c r="AO18" s="17"/>
    </row>
    <row r="19" spans="1:41" ht="12.75" x14ac:dyDescent="0.2">
      <c r="A19" s="17"/>
      <c r="B19" s="18">
        <v>14</v>
      </c>
      <c r="C19" s="17" t="s">
        <v>110</v>
      </c>
      <c r="D19" s="17" t="s">
        <v>111</v>
      </c>
      <c r="E19" s="17" t="s">
        <v>43</v>
      </c>
      <c r="F19" s="17"/>
      <c r="G19" s="17" t="s">
        <v>112</v>
      </c>
      <c r="H19" s="18">
        <v>24</v>
      </c>
      <c r="I19" s="17" t="s">
        <v>113</v>
      </c>
      <c r="J19" s="17"/>
      <c r="K19" s="19">
        <v>7044736423</v>
      </c>
      <c r="L19" s="20" t="s">
        <v>54</v>
      </c>
      <c r="M19" s="17"/>
      <c r="N19" s="17"/>
      <c r="O19" s="17"/>
      <c r="P19" s="17" t="s">
        <v>60</v>
      </c>
      <c r="Q19" s="17" t="s">
        <v>61</v>
      </c>
      <c r="R19" s="17" t="s">
        <v>83</v>
      </c>
      <c r="S19" s="17"/>
      <c r="T19" s="17"/>
      <c r="U19" s="17"/>
      <c r="V19" s="17"/>
      <c r="W19" s="17"/>
      <c r="X19" s="17"/>
      <c r="Y19" s="17"/>
      <c r="Z19" s="17" t="e">
        <f t="shared" si="0"/>
        <v>#DIV/0!</v>
      </c>
      <c r="AA19" s="17"/>
      <c r="AB19" s="17"/>
      <c r="AC19" s="17"/>
      <c r="AD19" s="17"/>
      <c r="AE19" s="17"/>
      <c r="AF19" s="17"/>
      <c r="AG19" s="17"/>
      <c r="AH19" s="17"/>
      <c r="AI19" s="17"/>
      <c r="AJ19" s="17"/>
      <c r="AK19" s="17"/>
      <c r="AL19" s="17"/>
      <c r="AM19" s="17"/>
      <c r="AN19" s="17"/>
      <c r="AO19" s="17"/>
    </row>
    <row r="20" spans="1:41" ht="12.75" x14ac:dyDescent="0.2">
      <c r="A20" s="17"/>
      <c r="B20" s="18">
        <v>15</v>
      </c>
      <c r="C20" s="17" t="s">
        <v>114</v>
      </c>
      <c r="D20" s="17" t="s">
        <v>115</v>
      </c>
      <c r="E20" s="17" t="s">
        <v>43</v>
      </c>
      <c r="F20" s="17"/>
      <c r="G20" s="17" t="s">
        <v>116</v>
      </c>
      <c r="H20" s="18">
        <v>20</v>
      </c>
      <c r="I20" s="17" t="s">
        <v>117</v>
      </c>
      <c r="J20" s="17"/>
      <c r="K20" s="19">
        <v>9123803549</v>
      </c>
      <c r="L20" s="20" t="s">
        <v>46</v>
      </c>
      <c r="M20" s="17"/>
      <c r="N20" s="17"/>
      <c r="O20" s="17"/>
      <c r="P20" s="17" t="s">
        <v>60</v>
      </c>
      <c r="Q20" s="17" t="s">
        <v>55</v>
      </c>
      <c r="R20" s="17" t="s">
        <v>49</v>
      </c>
      <c r="S20" s="17"/>
      <c r="T20" s="17"/>
      <c r="U20" s="17"/>
      <c r="V20" s="17"/>
      <c r="W20" s="17"/>
      <c r="X20" s="17"/>
      <c r="Y20" s="17"/>
      <c r="Z20" s="17" t="e">
        <f t="shared" si="0"/>
        <v>#DIV/0!</v>
      </c>
      <c r="AA20" s="17"/>
      <c r="AB20" s="17"/>
      <c r="AC20" s="17"/>
      <c r="AD20" s="17"/>
      <c r="AE20" s="17"/>
      <c r="AF20" s="17"/>
      <c r="AG20" s="17"/>
      <c r="AH20" s="17"/>
      <c r="AI20" s="17"/>
      <c r="AJ20" s="17"/>
      <c r="AK20" s="17"/>
      <c r="AL20" s="17"/>
      <c r="AM20" s="17"/>
      <c r="AN20" s="17"/>
      <c r="AO20" s="17"/>
    </row>
    <row r="21" spans="1:41" ht="12.75" x14ac:dyDescent="0.2">
      <c r="A21" s="17"/>
      <c r="B21" s="18">
        <v>16</v>
      </c>
      <c r="C21" s="17" t="s">
        <v>118</v>
      </c>
      <c r="D21" s="17" t="s">
        <v>119</v>
      </c>
      <c r="E21" s="17" t="s">
        <v>43</v>
      </c>
      <c r="F21" s="17"/>
      <c r="G21" s="17" t="s">
        <v>120</v>
      </c>
      <c r="H21" s="18">
        <v>23</v>
      </c>
      <c r="I21" s="17" t="s">
        <v>121</v>
      </c>
      <c r="J21" s="17"/>
      <c r="K21" s="19">
        <v>7980054873</v>
      </c>
      <c r="L21" s="20" t="s">
        <v>54</v>
      </c>
      <c r="M21" s="17"/>
      <c r="N21" s="17"/>
      <c r="O21" s="17"/>
      <c r="P21" s="17" t="s">
        <v>47</v>
      </c>
      <c r="Q21" s="17" t="s">
        <v>48</v>
      </c>
      <c r="R21" s="17" t="s">
        <v>49</v>
      </c>
      <c r="S21" s="17"/>
      <c r="T21" s="17"/>
      <c r="U21" s="17"/>
      <c r="V21" s="17"/>
      <c r="W21" s="17"/>
      <c r="X21" s="17"/>
      <c r="Y21" s="17"/>
      <c r="Z21" s="17" t="e">
        <f t="shared" si="0"/>
        <v>#DIV/0!</v>
      </c>
      <c r="AA21" s="17"/>
      <c r="AB21" s="17"/>
      <c r="AC21" s="17"/>
      <c r="AD21" s="17"/>
      <c r="AE21" s="17"/>
      <c r="AF21" s="17"/>
      <c r="AG21" s="17"/>
      <c r="AH21" s="17"/>
      <c r="AI21" s="17"/>
      <c r="AJ21" s="17"/>
      <c r="AK21" s="17"/>
      <c r="AL21" s="17"/>
      <c r="AM21" s="17"/>
      <c r="AN21" s="17"/>
      <c r="AO21" s="17"/>
    </row>
    <row r="22" spans="1:41" ht="12.75" x14ac:dyDescent="0.2">
      <c r="A22" s="17"/>
      <c r="B22" s="18">
        <v>17</v>
      </c>
      <c r="C22" s="17" t="s">
        <v>122</v>
      </c>
      <c r="D22" s="17" t="s">
        <v>123</v>
      </c>
      <c r="E22" s="17" t="s">
        <v>43</v>
      </c>
      <c r="F22" s="17"/>
      <c r="G22" s="17" t="s">
        <v>124</v>
      </c>
      <c r="H22" s="18">
        <v>25</v>
      </c>
      <c r="I22" s="17" t="s">
        <v>125</v>
      </c>
      <c r="J22" s="17"/>
      <c r="K22" s="19">
        <v>9163900309</v>
      </c>
      <c r="L22" s="20" t="s">
        <v>54</v>
      </c>
      <c r="M22" s="17"/>
      <c r="N22" s="17"/>
      <c r="O22" s="17"/>
      <c r="P22" s="17" t="s">
        <v>60</v>
      </c>
      <c r="Q22" s="17" t="s">
        <v>55</v>
      </c>
      <c r="R22" s="17" t="s">
        <v>49</v>
      </c>
      <c r="S22" s="17"/>
      <c r="T22" s="17"/>
      <c r="U22" s="17"/>
      <c r="V22" s="17"/>
      <c r="W22" s="17"/>
      <c r="X22" s="17"/>
      <c r="Y22" s="17"/>
      <c r="Z22" s="17" t="e">
        <f t="shared" si="0"/>
        <v>#DIV/0!</v>
      </c>
      <c r="AA22" s="17"/>
      <c r="AB22" s="17"/>
      <c r="AC22" s="17"/>
      <c r="AD22" s="17"/>
      <c r="AE22" s="17"/>
      <c r="AF22" s="17"/>
      <c r="AG22" s="17"/>
      <c r="AH22" s="17"/>
      <c r="AI22" s="17"/>
      <c r="AJ22" s="17"/>
      <c r="AK22" s="17"/>
      <c r="AL22" s="17"/>
      <c r="AM22" s="17"/>
      <c r="AN22" s="17"/>
      <c r="AO22" s="17"/>
    </row>
    <row r="23" spans="1:41" ht="12.75" x14ac:dyDescent="0.2">
      <c r="A23" s="17"/>
      <c r="B23" s="18">
        <v>18</v>
      </c>
      <c r="C23" s="17" t="s">
        <v>126</v>
      </c>
      <c r="D23" s="17" t="s">
        <v>127</v>
      </c>
      <c r="E23" s="17" t="s">
        <v>43</v>
      </c>
      <c r="F23" s="17"/>
      <c r="G23" s="17" t="s">
        <v>128</v>
      </c>
      <c r="H23" s="18">
        <v>20</v>
      </c>
      <c r="I23" s="17" t="s">
        <v>129</v>
      </c>
      <c r="J23" s="17"/>
      <c r="K23" s="19">
        <v>6291028569</v>
      </c>
      <c r="L23" s="20" t="s">
        <v>54</v>
      </c>
      <c r="M23" s="17"/>
      <c r="N23" s="17"/>
      <c r="O23" s="17"/>
      <c r="P23" s="17" t="s">
        <v>47</v>
      </c>
      <c r="Q23" s="17" t="s">
        <v>61</v>
      </c>
      <c r="R23" s="17" t="s">
        <v>49</v>
      </c>
      <c r="S23" s="17"/>
      <c r="T23" s="17"/>
      <c r="U23" s="17"/>
      <c r="V23" s="17"/>
      <c r="W23" s="17"/>
      <c r="X23" s="17"/>
      <c r="Y23" s="17"/>
      <c r="Z23" s="17" t="e">
        <f t="shared" si="0"/>
        <v>#DIV/0!</v>
      </c>
      <c r="AA23" s="17"/>
      <c r="AB23" s="17"/>
      <c r="AC23" s="17"/>
      <c r="AD23" s="17"/>
      <c r="AE23" s="17"/>
      <c r="AF23" s="17"/>
      <c r="AG23" s="17"/>
      <c r="AH23" s="17"/>
      <c r="AI23" s="17"/>
      <c r="AJ23" s="17"/>
      <c r="AK23" s="17"/>
      <c r="AL23" s="17"/>
      <c r="AM23" s="17"/>
      <c r="AN23" s="17"/>
      <c r="AO23" s="17"/>
    </row>
    <row r="24" spans="1:41" ht="12.75" x14ac:dyDescent="0.2">
      <c r="A24" s="17"/>
      <c r="B24" s="18">
        <v>19</v>
      </c>
      <c r="C24" s="17" t="s">
        <v>130</v>
      </c>
      <c r="D24" s="17" t="s">
        <v>131</v>
      </c>
      <c r="E24" s="17" t="s">
        <v>78</v>
      </c>
      <c r="F24" s="17"/>
      <c r="G24" s="17" t="s">
        <v>132</v>
      </c>
      <c r="H24" s="18">
        <v>19</v>
      </c>
      <c r="I24" s="17" t="s">
        <v>133</v>
      </c>
      <c r="J24" s="17"/>
      <c r="K24" s="19">
        <v>8100384536</v>
      </c>
      <c r="L24" s="20" t="s">
        <v>81</v>
      </c>
      <c r="M24" s="17" t="s">
        <v>82</v>
      </c>
      <c r="N24" s="17"/>
      <c r="O24" s="17"/>
      <c r="P24" s="17" t="s">
        <v>47</v>
      </c>
      <c r="Q24" s="17" t="s">
        <v>61</v>
      </c>
      <c r="R24" s="17" t="s">
        <v>49</v>
      </c>
      <c r="S24" s="17"/>
      <c r="T24" s="17"/>
      <c r="U24" s="17"/>
      <c r="V24" s="17"/>
      <c r="W24" s="17"/>
      <c r="X24" s="17"/>
      <c r="Y24" s="17"/>
      <c r="Z24" s="17" t="e">
        <f t="shared" si="0"/>
        <v>#DIV/0!</v>
      </c>
      <c r="AA24" s="17"/>
      <c r="AB24" s="17"/>
      <c r="AC24" s="17"/>
      <c r="AD24" s="17"/>
      <c r="AE24" s="17"/>
      <c r="AF24" s="17"/>
      <c r="AG24" s="17"/>
      <c r="AH24" s="17"/>
      <c r="AI24" s="17"/>
      <c r="AJ24" s="17"/>
      <c r="AK24" s="17"/>
      <c r="AL24" s="17"/>
      <c r="AM24" s="17"/>
      <c r="AN24" s="17"/>
      <c r="AO24" s="17"/>
    </row>
    <row r="25" spans="1:41" ht="12.75" x14ac:dyDescent="0.2">
      <c r="A25" s="17"/>
      <c r="B25" s="18">
        <v>20</v>
      </c>
      <c r="C25" s="17" t="s">
        <v>134</v>
      </c>
      <c r="D25" s="17" t="s">
        <v>135</v>
      </c>
      <c r="E25" s="17" t="s">
        <v>43</v>
      </c>
      <c r="F25" s="17"/>
      <c r="G25" s="17" t="s">
        <v>136</v>
      </c>
      <c r="H25" s="18">
        <v>35</v>
      </c>
      <c r="I25" s="17" t="s">
        <v>137</v>
      </c>
      <c r="J25" s="17"/>
      <c r="K25" s="19">
        <v>9679454133</v>
      </c>
      <c r="L25" s="20" t="s">
        <v>54</v>
      </c>
      <c r="M25" s="17"/>
      <c r="N25" s="17"/>
      <c r="O25" s="17"/>
      <c r="P25" s="17" t="s">
        <v>47</v>
      </c>
      <c r="Q25" s="17" t="s">
        <v>48</v>
      </c>
      <c r="R25" s="17" t="s">
        <v>92</v>
      </c>
      <c r="S25" s="17"/>
      <c r="T25" s="17"/>
      <c r="U25" s="17"/>
      <c r="V25" s="17"/>
      <c r="W25" s="17"/>
      <c r="X25" s="17"/>
      <c r="Y25" s="17"/>
      <c r="Z25" s="17" t="e">
        <f t="shared" si="0"/>
        <v>#DIV/0!</v>
      </c>
      <c r="AA25" s="17"/>
      <c r="AB25" s="17"/>
      <c r="AC25" s="17"/>
      <c r="AD25" s="17"/>
      <c r="AE25" s="17"/>
      <c r="AF25" s="17"/>
      <c r="AG25" s="17"/>
      <c r="AH25" s="17"/>
      <c r="AI25" s="17"/>
      <c r="AJ25" s="17"/>
      <c r="AK25" s="17"/>
      <c r="AL25" s="17"/>
      <c r="AM25" s="17"/>
      <c r="AN25" s="17"/>
      <c r="AO25" s="17"/>
    </row>
    <row r="26" spans="1:41" ht="12.75" x14ac:dyDescent="0.2">
      <c r="A26" s="17"/>
      <c r="B26" s="18">
        <v>21</v>
      </c>
      <c r="C26" s="17" t="s">
        <v>138</v>
      </c>
      <c r="D26" s="17" t="s">
        <v>139</v>
      </c>
      <c r="E26" s="17" t="s">
        <v>78</v>
      </c>
      <c r="F26" s="17"/>
      <c r="G26" s="17" t="s">
        <v>140</v>
      </c>
      <c r="H26" s="18">
        <v>28</v>
      </c>
      <c r="I26" s="17" t="s">
        <v>141</v>
      </c>
      <c r="J26" s="17"/>
      <c r="K26" s="19">
        <v>7980434981</v>
      </c>
      <c r="L26" s="20" t="s">
        <v>81</v>
      </c>
      <c r="M26" s="17" t="s">
        <v>142</v>
      </c>
      <c r="N26" s="17"/>
      <c r="O26" s="17"/>
      <c r="P26" s="17" t="s">
        <v>60</v>
      </c>
      <c r="Q26" s="17" t="s">
        <v>61</v>
      </c>
      <c r="R26" s="17" t="s">
        <v>49</v>
      </c>
      <c r="S26" s="17"/>
      <c r="T26" s="17"/>
      <c r="U26" s="17"/>
      <c r="V26" s="17"/>
      <c r="W26" s="17"/>
      <c r="X26" s="17"/>
      <c r="Y26" s="17"/>
      <c r="Z26" s="17" t="e">
        <f t="shared" si="0"/>
        <v>#DIV/0!</v>
      </c>
      <c r="AA26" s="17"/>
      <c r="AB26" s="17"/>
      <c r="AC26" s="17"/>
      <c r="AD26" s="17"/>
      <c r="AE26" s="17"/>
      <c r="AF26" s="17"/>
      <c r="AG26" s="17"/>
      <c r="AH26" s="17"/>
      <c r="AI26" s="17"/>
      <c r="AJ26" s="17"/>
      <c r="AK26" s="17"/>
      <c r="AL26" s="17"/>
      <c r="AM26" s="17"/>
      <c r="AN26" s="17"/>
      <c r="AO26" s="17"/>
    </row>
    <row r="27" spans="1:41" ht="12.75" x14ac:dyDescent="0.2">
      <c r="A27" s="17"/>
      <c r="B27" s="18"/>
      <c r="C27" s="17"/>
      <c r="D27" s="17"/>
      <c r="E27" s="17"/>
      <c r="F27" s="21"/>
      <c r="G27" s="21"/>
      <c r="H27" s="18"/>
      <c r="I27" s="17"/>
      <c r="J27" s="17"/>
      <c r="K27" s="17"/>
      <c r="L27" s="20"/>
      <c r="M27" s="17"/>
      <c r="N27" s="17"/>
      <c r="O27" s="17"/>
      <c r="P27" s="17"/>
      <c r="Q27" s="17"/>
      <c r="R27" s="17"/>
      <c r="S27" s="17"/>
      <c r="T27" s="17"/>
      <c r="U27" s="17"/>
      <c r="V27" s="17"/>
      <c r="W27" s="17"/>
      <c r="X27" s="17"/>
      <c r="Y27" s="17"/>
      <c r="Z27" s="17" t="e">
        <f t="shared" si="0"/>
        <v>#DIV/0!</v>
      </c>
      <c r="AA27" s="17"/>
      <c r="AB27" s="17"/>
      <c r="AC27" s="17"/>
      <c r="AD27" s="17"/>
      <c r="AE27" s="17"/>
      <c r="AF27" s="17"/>
      <c r="AG27" s="17"/>
      <c r="AH27" s="17"/>
      <c r="AI27" s="17"/>
      <c r="AJ27" s="17"/>
      <c r="AK27" s="17"/>
      <c r="AL27" s="17"/>
      <c r="AM27" s="17"/>
      <c r="AN27" s="17"/>
      <c r="AO27" s="17"/>
    </row>
    <row r="28" spans="1:41" ht="12.75" x14ac:dyDescent="0.2">
      <c r="A28" s="10" t="s">
        <v>143</v>
      </c>
      <c r="B28" s="10" t="s">
        <v>144</v>
      </c>
      <c r="C28" s="17"/>
      <c r="D28" s="17"/>
      <c r="E28" s="17"/>
      <c r="F28" s="21"/>
      <c r="G28" s="21"/>
      <c r="H28" s="18"/>
      <c r="I28" s="17"/>
      <c r="J28" s="17"/>
      <c r="K28" s="17"/>
      <c r="L28" s="20"/>
      <c r="M28" s="17"/>
      <c r="N28" s="17"/>
      <c r="O28" s="17"/>
      <c r="P28" s="17"/>
      <c r="Q28" s="17"/>
      <c r="R28" s="17"/>
      <c r="S28" s="17"/>
      <c r="T28" s="17"/>
      <c r="U28" s="17"/>
      <c r="V28" s="17"/>
      <c r="W28" s="17"/>
      <c r="X28" s="17"/>
      <c r="Y28" s="17"/>
      <c r="Z28" s="17" t="e">
        <f t="shared" si="0"/>
        <v>#DIV/0!</v>
      </c>
      <c r="AA28" s="17"/>
      <c r="AB28" s="17"/>
      <c r="AC28" s="17"/>
      <c r="AD28" s="17"/>
      <c r="AE28" s="17"/>
      <c r="AF28" s="17"/>
      <c r="AG28" s="17"/>
      <c r="AH28" s="17"/>
      <c r="AI28" s="17"/>
      <c r="AJ28" s="17"/>
      <c r="AK28" s="17"/>
      <c r="AL28" s="17"/>
      <c r="AM28" s="17"/>
      <c r="AN28" s="17"/>
      <c r="AO28" s="17"/>
    </row>
    <row r="29" spans="1:41" ht="22.5" x14ac:dyDescent="0.2">
      <c r="A29" s="14" t="s">
        <v>38</v>
      </c>
      <c r="B29" s="14">
        <v>25</v>
      </c>
      <c r="C29" s="17"/>
      <c r="D29" s="17"/>
      <c r="E29" s="17"/>
      <c r="F29" s="21"/>
      <c r="G29" s="21"/>
      <c r="H29" s="18"/>
      <c r="I29" s="17"/>
      <c r="J29" s="17"/>
      <c r="K29" s="17"/>
      <c r="L29" s="20"/>
      <c r="M29" s="17"/>
      <c r="N29" s="17"/>
      <c r="O29" s="17"/>
      <c r="P29" s="17"/>
      <c r="Q29" s="17"/>
      <c r="R29" s="17"/>
      <c r="S29" s="17"/>
      <c r="T29" s="17"/>
      <c r="U29" s="17"/>
      <c r="V29" s="17"/>
      <c r="W29" s="17"/>
      <c r="X29" s="17"/>
      <c r="Y29" s="17"/>
      <c r="Z29" s="17" t="e">
        <f t="shared" si="0"/>
        <v>#DIV/0!</v>
      </c>
      <c r="AA29" s="17"/>
      <c r="AB29" s="17"/>
      <c r="AC29" s="17"/>
      <c r="AD29" s="17"/>
      <c r="AE29" s="17"/>
      <c r="AF29" s="17"/>
      <c r="AG29" s="17"/>
      <c r="AH29" s="17"/>
      <c r="AI29" s="17"/>
      <c r="AJ29" s="17"/>
      <c r="AK29" s="17"/>
      <c r="AL29" s="17"/>
      <c r="AM29" s="17"/>
      <c r="AN29" s="17"/>
      <c r="AO29" s="17"/>
    </row>
    <row r="30" spans="1:41" ht="22.5" x14ac:dyDescent="0.2">
      <c r="A30" s="14" t="s">
        <v>39</v>
      </c>
      <c r="B30" s="14"/>
      <c r="C30" s="17"/>
      <c r="D30" s="17"/>
      <c r="E30" s="17"/>
      <c r="F30" s="17"/>
      <c r="G30" s="17"/>
      <c r="H30" s="18"/>
      <c r="I30" s="17"/>
      <c r="J30" s="17"/>
      <c r="K30" s="17"/>
      <c r="L30" s="20"/>
      <c r="M30" s="17"/>
      <c r="N30" s="17"/>
      <c r="O30" s="17"/>
      <c r="P30" s="17"/>
      <c r="Q30" s="17"/>
      <c r="R30" s="17"/>
      <c r="S30" s="17"/>
      <c r="T30" s="17"/>
      <c r="U30" s="17"/>
      <c r="V30" s="17"/>
      <c r="W30" s="17"/>
      <c r="X30" s="17"/>
      <c r="Y30" s="17"/>
      <c r="Z30" s="17" t="e">
        <f t="shared" si="0"/>
        <v>#DIV/0!</v>
      </c>
      <c r="AA30" s="17"/>
      <c r="AB30" s="17"/>
      <c r="AC30" s="17"/>
      <c r="AD30" s="17"/>
      <c r="AE30" s="17"/>
      <c r="AF30" s="17"/>
      <c r="AG30" s="17"/>
      <c r="AH30" s="17"/>
      <c r="AI30" s="17"/>
      <c r="AJ30" s="17"/>
      <c r="AK30" s="17"/>
      <c r="AL30" s="17"/>
      <c r="AM30" s="17"/>
      <c r="AN30" s="17"/>
      <c r="AO30" s="17"/>
    </row>
    <row r="31" spans="1:41" ht="12.75" x14ac:dyDescent="0.2">
      <c r="A31" s="17"/>
      <c r="C31" s="17"/>
      <c r="D31" s="17"/>
      <c r="E31" s="17"/>
      <c r="F31" s="17"/>
      <c r="G31" s="17"/>
      <c r="H31" s="18"/>
      <c r="I31" s="17"/>
      <c r="J31" s="17"/>
      <c r="K31" s="17"/>
      <c r="L31" s="20"/>
      <c r="M31" s="17"/>
      <c r="N31" s="17"/>
      <c r="O31" s="17"/>
      <c r="P31" s="17"/>
      <c r="Q31" s="17"/>
      <c r="R31" s="17"/>
      <c r="S31" s="17"/>
      <c r="T31" s="17"/>
      <c r="U31" s="17"/>
      <c r="V31" s="17"/>
      <c r="W31" s="17"/>
      <c r="X31" s="17"/>
      <c r="Y31" s="17"/>
      <c r="Z31" s="17" t="e">
        <f t="shared" si="0"/>
        <v>#DIV/0!</v>
      </c>
      <c r="AA31" s="17"/>
      <c r="AB31" s="17"/>
      <c r="AC31" s="17"/>
      <c r="AD31" s="17"/>
      <c r="AE31" s="17"/>
      <c r="AF31" s="17"/>
      <c r="AG31" s="17"/>
      <c r="AH31" s="17"/>
      <c r="AI31" s="17"/>
      <c r="AJ31" s="17"/>
      <c r="AK31" s="17"/>
      <c r="AL31" s="17"/>
      <c r="AM31" s="17"/>
      <c r="AN31" s="17"/>
      <c r="AO31" s="17"/>
    </row>
    <row r="32" spans="1:41" ht="42.75" customHeight="1" x14ac:dyDescent="0.2">
      <c r="B32" s="18" t="s">
        <v>145</v>
      </c>
      <c r="C32" s="2" t="s">
        <v>0</v>
      </c>
      <c r="D32" s="2" t="s">
        <v>1</v>
      </c>
      <c r="E32" s="2" t="s">
        <v>2</v>
      </c>
      <c r="F32" s="3"/>
      <c r="G32" s="3" t="s">
        <v>4</v>
      </c>
      <c r="H32" s="2" t="s">
        <v>5</v>
      </c>
      <c r="I32" s="2" t="s">
        <v>6</v>
      </c>
      <c r="J32" s="2" t="s">
        <v>7</v>
      </c>
      <c r="K32" s="2" t="s">
        <v>8</v>
      </c>
      <c r="L32" s="4" t="s">
        <v>9</v>
      </c>
      <c r="M32" s="2" t="s">
        <v>10</v>
      </c>
      <c r="N32" s="2" t="s">
        <v>11</v>
      </c>
      <c r="O32" s="2" t="s">
        <v>12</v>
      </c>
      <c r="P32" s="2" t="s">
        <v>13</v>
      </c>
      <c r="Q32" s="2" t="s">
        <v>14</v>
      </c>
      <c r="R32" s="2" t="s">
        <v>15</v>
      </c>
      <c r="S32" s="2" t="s">
        <v>16</v>
      </c>
      <c r="T32" s="2" t="s">
        <v>17</v>
      </c>
      <c r="U32" s="2" t="s">
        <v>18</v>
      </c>
      <c r="V32" s="2" t="s">
        <v>19</v>
      </c>
      <c r="W32" s="2" t="s">
        <v>20</v>
      </c>
      <c r="X32" s="2" t="s">
        <v>21</v>
      </c>
      <c r="Y32" s="2" t="s">
        <v>22</v>
      </c>
      <c r="Z32" s="5" t="s">
        <v>23</v>
      </c>
      <c r="AA32" s="2" t="s">
        <v>24</v>
      </c>
      <c r="AB32" s="2" t="s">
        <v>25</v>
      </c>
      <c r="AC32" s="2" t="s">
        <v>26</v>
      </c>
      <c r="AD32" s="2" t="s">
        <v>27</v>
      </c>
      <c r="AE32" s="2" t="s">
        <v>28</v>
      </c>
      <c r="AF32" s="2" t="s">
        <v>29</v>
      </c>
      <c r="AG32" s="6" t="s">
        <v>30</v>
      </c>
      <c r="AH32" s="2" t="s">
        <v>31</v>
      </c>
      <c r="AI32" s="2" t="s">
        <v>32</v>
      </c>
      <c r="AJ32" s="2" t="s">
        <v>33</v>
      </c>
      <c r="AK32" s="2" t="s">
        <v>34</v>
      </c>
      <c r="AL32" s="2" t="s">
        <v>35</v>
      </c>
      <c r="AM32" s="7"/>
      <c r="AN32" s="7"/>
      <c r="AO32" s="7"/>
    </row>
    <row r="33" spans="1:41" ht="60.75" x14ac:dyDescent="0.25">
      <c r="A33" s="17"/>
      <c r="B33" s="18">
        <v>1</v>
      </c>
      <c r="C33" s="17" t="s">
        <v>146</v>
      </c>
      <c r="D33" s="17" t="s">
        <v>147</v>
      </c>
      <c r="E33" s="17" t="s">
        <v>43</v>
      </c>
      <c r="F33" s="22"/>
      <c r="G33" s="22" t="s">
        <v>148</v>
      </c>
      <c r="H33" s="23">
        <v>32</v>
      </c>
      <c r="I33" s="17" t="s">
        <v>149</v>
      </c>
      <c r="J33" s="17"/>
      <c r="K33" s="24">
        <v>6289177355</v>
      </c>
      <c r="L33" s="25" t="s">
        <v>81</v>
      </c>
      <c r="M33" s="24" t="s">
        <v>82</v>
      </c>
      <c r="N33" s="17"/>
      <c r="O33" s="17" t="s">
        <v>46</v>
      </c>
      <c r="P33" s="17" t="s">
        <v>60</v>
      </c>
      <c r="Q33" s="17" t="s">
        <v>61</v>
      </c>
      <c r="R33" s="17" t="s">
        <v>83</v>
      </c>
      <c r="S33" s="17">
        <v>23</v>
      </c>
      <c r="T33" s="17"/>
      <c r="U33" s="17" t="s">
        <v>150</v>
      </c>
      <c r="V33" s="17" t="s">
        <v>151</v>
      </c>
      <c r="W33" s="17"/>
      <c r="X33" s="17">
        <v>13000</v>
      </c>
      <c r="Y33" s="17">
        <v>5</v>
      </c>
      <c r="Z33" s="17">
        <f t="shared" ref="Z33:Z60" si="1">X33/Y33</f>
        <v>2600</v>
      </c>
      <c r="AA33" s="17" t="s">
        <v>152</v>
      </c>
      <c r="AB33" s="17">
        <v>677902120001059</v>
      </c>
      <c r="AC33" s="17" t="s">
        <v>153</v>
      </c>
      <c r="AD33" s="17" t="s">
        <v>154</v>
      </c>
      <c r="AE33" s="17" t="s">
        <v>151</v>
      </c>
      <c r="AF33" s="17"/>
      <c r="AG33" s="17"/>
      <c r="AH33" s="17"/>
      <c r="AI33" s="17" t="s">
        <v>155</v>
      </c>
      <c r="AJ33" s="20" t="s">
        <v>156</v>
      </c>
      <c r="AK33" s="20" t="s">
        <v>157</v>
      </c>
      <c r="AL33" s="20" t="s">
        <v>158</v>
      </c>
      <c r="AM33" s="17"/>
      <c r="AN33" s="17"/>
      <c r="AO33" s="17"/>
    </row>
    <row r="34" spans="1:41" ht="16.5" customHeight="1" x14ac:dyDescent="0.25">
      <c r="A34" s="17"/>
      <c r="B34" s="18">
        <v>2</v>
      </c>
      <c r="C34" s="17" t="s">
        <v>159</v>
      </c>
      <c r="D34" s="17" t="s">
        <v>160</v>
      </c>
      <c r="E34" s="17" t="s">
        <v>43</v>
      </c>
      <c r="F34" s="22"/>
      <c r="G34" s="22" t="s">
        <v>161</v>
      </c>
      <c r="H34" s="18">
        <v>20</v>
      </c>
      <c r="I34" s="17" t="s">
        <v>162</v>
      </c>
      <c r="J34" s="17" t="s">
        <v>163</v>
      </c>
      <c r="K34" s="24">
        <v>7439789740</v>
      </c>
      <c r="L34" s="25" t="s">
        <v>81</v>
      </c>
      <c r="M34" s="24" t="s">
        <v>82</v>
      </c>
      <c r="N34" s="17"/>
      <c r="O34" s="17" t="s">
        <v>46</v>
      </c>
      <c r="P34" s="17" t="s">
        <v>60</v>
      </c>
      <c r="Q34" s="17" t="s">
        <v>61</v>
      </c>
      <c r="R34" s="17" t="s">
        <v>49</v>
      </c>
      <c r="S34" s="17"/>
      <c r="T34" s="17"/>
      <c r="U34" s="17" t="s">
        <v>150</v>
      </c>
      <c r="V34" s="17" t="s">
        <v>151</v>
      </c>
      <c r="W34" s="17"/>
      <c r="X34" s="17">
        <v>7000</v>
      </c>
      <c r="Y34" s="17">
        <v>3</v>
      </c>
      <c r="Z34" s="17">
        <f t="shared" si="1"/>
        <v>2333.3333333333335</v>
      </c>
      <c r="AA34" s="26" t="s">
        <v>164</v>
      </c>
      <c r="AB34" s="26">
        <v>404910510002790</v>
      </c>
      <c r="AC34" s="27" t="s">
        <v>165</v>
      </c>
      <c r="AD34" s="26" t="s">
        <v>166</v>
      </c>
      <c r="AE34" s="17" t="s">
        <v>151</v>
      </c>
      <c r="AF34" s="17"/>
      <c r="AG34" s="17"/>
      <c r="AH34" s="17"/>
      <c r="AI34" s="17" t="s">
        <v>167</v>
      </c>
      <c r="AJ34" s="20" t="s">
        <v>168</v>
      </c>
      <c r="AK34" s="20" t="s">
        <v>169</v>
      </c>
      <c r="AL34" s="20" t="s">
        <v>170</v>
      </c>
      <c r="AM34" s="17"/>
      <c r="AN34" s="17"/>
      <c r="AO34" s="17"/>
    </row>
    <row r="35" spans="1:41" ht="13.5" customHeight="1" x14ac:dyDescent="0.25">
      <c r="A35" s="17"/>
      <c r="B35" s="18">
        <v>3</v>
      </c>
      <c r="C35" s="17" t="s">
        <v>171</v>
      </c>
      <c r="D35" s="17" t="s">
        <v>172</v>
      </c>
      <c r="E35" s="17" t="s">
        <v>43</v>
      </c>
      <c r="F35" s="22"/>
      <c r="G35" s="22" t="s">
        <v>173</v>
      </c>
      <c r="H35" s="28">
        <v>30</v>
      </c>
      <c r="I35" s="17" t="s">
        <v>174</v>
      </c>
      <c r="J35" s="17"/>
      <c r="K35" s="24">
        <v>7059034740</v>
      </c>
      <c r="L35" s="25" t="s">
        <v>54</v>
      </c>
      <c r="M35" s="24"/>
      <c r="N35" s="17"/>
      <c r="O35" s="17"/>
      <c r="P35" s="17" t="s">
        <v>175</v>
      </c>
      <c r="Q35" s="17" t="s">
        <v>48</v>
      </c>
      <c r="R35" s="17" t="s">
        <v>49</v>
      </c>
      <c r="S35" s="17"/>
      <c r="T35" s="17"/>
      <c r="U35" s="17" t="s">
        <v>150</v>
      </c>
      <c r="V35" s="17" t="s">
        <v>151</v>
      </c>
      <c r="W35" s="17"/>
      <c r="X35" s="17">
        <v>12000</v>
      </c>
      <c r="Y35" s="17">
        <v>4</v>
      </c>
      <c r="Z35" s="17">
        <f t="shared" si="1"/>
        <v>3000</v>
      </c>
      <c r="AA35" s="26" t="s">
        <v>164</v>
      </c>
      <c r="AB35" s="26">
        <v>404910510000532</v>
      </c>
      <c r="AC35" s="27" t="s">
        <v>176</v>
      </c>
      <c r="AD35" s="26" t="s">
        <v>166</v>
      </c>
      <c r="AE35" s="17" t="s">
        <v>151</v>
      </c>
      <c r="AF35" s="17"/>
      <c r="AG35" s="17"/>
      <c r="AH35" s="17"/>
      <c r="AI35" s="17" t="s">
        <v>167</v>
      </c>
      <c r="AJ35" s="20" t="s">
        <v>177</v>
      </c>
      <c r="AK35" s="20" t="s">
        <v>178</v>
      </c>
      <c r="AL35" s="20" t="s">
        <v>179</v>
      </c>
      <c r="AM35" s="17"/>
      <c r="AN35" s="17"/>
      <c r="AO35" s="17"/>
    </row>
    <row r="36" spans="1:41" ht="16.5" customHeight="1" x14ac:dyDescent="0.25">
      <c r="A36" s="17"/>
      <c r="B36" s="18">
        <v>4</v>
      </c>
      <c r="C36" s="17" t="s">
        <v>180</v>
      </c>
      <c r="D36" s="17" t="s">
        <v>181</v>
      </c>
      <c r="E36" s="17" t="s">
        <v>43</v>
      </c>
      <c r="F36" s="29"/>
      <c r="G36" s="29">
        <v>33522</v>
      </c>
      <c r="H36" s="28">
        <v>29</v>
      </c>
      <c r="I36" s="17" t="s">
        <v>182</v>
      </c>
      <c r="J36" s="17"/>
      <c r="K36" s="24">
        <v>7980472282</v>
      </c>
      <c r="L36" s="25" t="s">
        <v>81</v>
      </c>
      <c r="M36" s="24" t="s">
        <v>82</v>
      </c>
      <c r="N36" s="17"/>
      <c r="O36" s="17" t="s">
        <v>46</v>
      </c>
      <c r="P36" s="17" t="s">
        <v>47</v>
      </c>
      <c r="Q36" s="17" t="s">
        <v>61</v>
      </c>
      <c r="R36" s="17" t="s">
        <v>83</v>
      </c>
      <c r="S36" s="17">
        <v>21</v>
      </c>
      <c r="T36" s="17">
        <v>2</v>
      </c>
      <c r="U36" s="17" t="s">
        <v>150</v>
      </c>
      <c r="V36" s="17" t="s">
        <v>151</v>
      </c>
      <c r="W36" s="17"/>
      <c r="X36" s="17">
        <v>18000</v>
      </c>
      <c r="Y36" s="17">
        <v>6</v>
      </c>
      <c r="Z36" s="17">
        <f t="shared" si="1"/>
        <v>3000</v>
      </c>
      <c r="AA36" s="26" t="s">
        <v>164</v>
      </c>
      <c r="AB36" s="26">
        <v>407410110005341</v>
      </c>
      <c r="AC36" s="17" t="s">
        <v>183</v>
      </c>
      <c r="AD36" s="24" t="s">
        <v>184</v>
      </c>
      <c r="AE36" s="17" t="s">
        <v>151</v>
      </c>
      <c r="AF36" s="17"/>
      <c r="AG36" s="17"/>
      <c r="AH36" s="17"/>
      <c r="AI36" s="17" t="s">
        <v>167</v>
      </c>
      <c r="AJ36" s="20" t="s">
        <v>185</v>
      </c>
      <c r="AK36" s="20" t="s">
        <v>178</v>
      </c>
      <c r="AL36" s="20" t="s">
        <v>186</v>
      </c>
      <c r="AM36" s="17"/>
      <c r="AN36" s="17"/>
      <c r="AO36" s="17"/>
    </row>
    <row r="37" spans="1:41" ht="16.5" customHeight="1" x14ac:dyDescent="0.25">
      <c r="B37" s="1">
        <v>5</v>
      </c>
      <c r="C37" s="17" t="s">
        <v>187</v>
      </c>
      <c r="D37" s="27" t="s">
        <v>188</v>
      </c>
      <c r="E37" s="27" t="s">
        <v>43</v>
      </c>
      <c r="F37" s="30"/>
      <c r="G37" s="30">
        <v>32418</v>
      </c>
      <c r="H37" s="31">
        <v>34</v>
      </c>
      <c r="I37" s="32" t="s">
        <v>189</v>
      </c>
      <c r="K37" s="24">
        <v>9007906509</v>
      </c>
      <c r="L37" s="33" t="s">
        <v>54</v>
      </c>
      <c r="M37" s="34"/>
      <c r="N37" s="17"/>
      <c r="O37" s="27"/>
      <c r="P37" s="27" t="s">
        <v>47</v>
      </c>
      <c r="Q37" s="27" t="s">
        <v>61</v>
      </c>
      <c r="R37" s="27" t="s">
        <v>83</v>
      </c>
      <c r="S37" s="27">
        <v>17</v>
      </c>
      <c r="T37" s="27">
        <v>2</v>
      </c>
      <c r="U37" s="27" t="s">
        <v>190</v>
      </c>
      <c r="V37" s="27" t="s">
        <v>151</v>
      </c>
      <c r="X37" s="27">
        <v>8000</v>
      </c>
      <c r="Y37" s="27">
        <v>4</v>
      </c>
      <c r="Z37" s="35">
        <f t="shared" si="1"/>
        <v>2000</v>
      </c>
      <c r="AA37" s="24" t="s">
        <v>191</v>
      </c>
      <c r="AB37" s="27">
        <v>47701000017274</v>
      </c>
      <c r="AC37" s="27" t="s">
        <v>192</v>
      </c>
      <c r="AD37" s="27" t="s">
        <v>193</v>
      </c>
      <c r="AE37" s="27" t="s">
        <v>151</v>
      </c>
      <c r="AI37" s="27" t="s">
        <v>194</v>
      </c>
      <c r="AJ37" s="36" t="s">
        <v>195</v>
      </c>
      <c r="AK37" s="36" t="s">
        <v>196</v>
      </c>
      <c r="AL37" s="36" t="s">
        <v>197</v>
      </c>
    </row>
    <row r="38" spans="1:41" ht="18.75" customHeight="1" x14ac:dyDescent="0.25">
      <c r="B38" s="1">
        <v>6</v>
      </c>
      <c r="C38" s="37" t="s">
        <v>198</v>
      </c>
      <c r="D38" s="27" t="s">
        <v>199</v>
      </c>
      <c r="E38" s="27" t="s">
        <v>43</v>
      </c>
      <c r="F38" s="38"/>
      <c r="G38" s="38" t="s">
        <v>200</v>
      </c>
      <c r="H38" s="39">
        <v>29</v>
      </c>
      <c r="I38" s="32" t="s">
        <v>201</v>
      </c>
      <c r="J38" s="27" t="s">
        <v>202</v>
      </c>
      <c r="K38" s="24">
        <v>9062289548</v>
      </c>
      <c r="L38" s="36" t="s">
        <v>81</v>
      </c>
      <c r="M38" s="27" t="s">
        <v>82</v>
      </c>
      <c r="N38" s="17"/>
      <c r="O38" s="27" t="s">
        <v>46</v>
      </c>
      <c r="P38" s="27" t="s">
        <v>47</v>
      </c>
      <c r="Q38" s="27" t="s">
        <v>61</v>
      </c>
      <c r="R38" s="27" t="s">
        <v>49</v>
      </c>
      <c r="U38" s="27" t="s">
        <v>203</v>
      </c>
      <c r="V38" s="27" t="s">
        <v>151</v>
      </c>
      <c r="X38" s="27">
        <v>10000</v>
      </c>
      <c r="Y38" s="27">
        <v>7</v>
      </c>
      <c r="Z38" s="35">
        <f t="shared" si="1"/>
        <v>1428.5714285714287</v>
      </c>
      <c r="AA38" s="24" t="s">
        <v>204</v>
      </c>
      <c r="AB38" s="24">
        <v>34694608073</v>
      </c>
      <c r="AC38" s="27" t="s">
        <v>205</v>
      </c>
      <c r="AD38" s="24" t="s">
        <v>206</v>
      </c>
      <c r="AE38" s="27" t="s">
        <v>151</v>
      </c>
      <c r="AI38" s="27" t="s">
        <v>207</v>
      </c>
      <c r="AJ38" s="36" t="s">
        <v>208</v>
      </c>
      <c r="AK38" s="36" t="s">
        <v>209</v>
      </c>
      <c r="AL38" s="36" t="s">
        <v>210</v>
      </c>
    </row>
    <row r="39" spans="1:41" ht="18.75" customHeight="1" x14ac:dyDescent="0.25">
      <c r="B39" s="1">
        <v>7</v>
      </c>
      <c r="C39" s="27" t="s">
        <v>211</v>
      </c>
      <c r="D39" s="27" t="s">
        <v>212</v>
      </c>
      <c r="E39" s="27" t="s">
        <v>78</v>
      </c>
      <c r="F39" s="40"/>
      <c r="G39" s="40">
        <v>34487</v>
      </c>
      <c r="H39" s="39">
        <v>29</v>
      </c>
      <c r="I39" s="27" t="s">
        <v>213</v>
      </c>
      <c r="K39" s="27">
        <v>8240406814</v>
      </c>
      <c r="L39" s="36" t="s">
        <v>81</v>
      </c>
      <c r="M39" s="27" t="s">
        <v>82</v>
      </c>
      <c r="N39" s="17"/>
      <c r="O39" s="27" t="s">
        <v>46</v>
      </c>
      <c r="P39" s="27" t="s">
        <v>47</v>
      </c>
      <c r="Q39" s="27" t="s">
        <v>61</v>
      </c>
      <c r="R39" s="27" t="s">
        <v>83</v>
      </c>
      <c r="S39" s="27">
        <v>23</v>
      </c>
      <c r="T39" s="27">
        <v>1</v>
      </c>
      <c r="U39" s="27" t="s">
        <v>150</v>
      </c>
      <c r="V39" s="27" t="s">
        <v>151</v>
      </c>
      <c r="X39" s="27">
        <v>12000</v>
      </c>
      <c r="Y39" s="27">
        <v>3</v>
      </c>
      <c r="Z39" s="41">
        <f t="shared" si="1"/>
        <v>4000</v>
      </c>
      <c r="AA39" s="26" t="s">
        <v>214</v>
      </c>
      <c r="AB39" s="26">
        <v>677902010010531</v>
      </c>
      <c r="AC39" s="27" t="s">
        <v>215</v>
      </c>
      <c r="AD39" s="24" t="s">
        <v>154</v>
      </c>
      <c r="AE39" s="27" t="s">
        <v>151</v>
      </c>
      <c r="AI39" s="27" t="s">
        <v>194</v>
      </c>
      <c r="AJ39" s="36" t="s">
        <v>216</v>
      </c>
      <c r="AK39" s="36" t="s">
        <v>209</v>
      </c>
      <c r="AL39" s="36" t="s">
        <v>217</v>
      </c>
    </row>
    <row r="40" spans="1:41" ht="16.5" customHeight="1" x14ac:dyDescent="0.2">
      <c r="B40" s="1">
        <v>8</v>
      </c>
      <c r="C40" s="27" t="s">
        <v>218</v>
      </c>
      <c r="D40" s="27" t="s">
        <v>219</v>
      </c>
      <c r="E40" s="27" t="s">
        <v>43</v>
      </c>
      <c r="F40" s="38"/>
      <c r="G40" s="38" t="s">
        <v>220</v>
      </c>
      <c r="H40" s="39">
        <v>28</v>
      </c>
      <c r="I40" s="27" t="s">
        <v>221</v>
      </c>
      <c r="J40" s="27" t="s">
        <v>222</v>
      </c>
      <c r="K40" s="27">
        <v>7686064939</v>
      </c>
      <c r="L40" s="36" t="s">
        <v>81</v>
      </c>
      <c r="M40" s="27" t="s">
        <v>82</v>
      </c>
      <c r="N40" s="17"/>
      <c r="O40" s="27" t="s">
        <v>46</v>
      </c>
      <c r="P40" s="27" t="s">
        <v>47</v>
      </c>
      <c r="Q40" s="27" t="s">
        <v>48</v>
      </c>
      <c r="R40" s="27" t="s">
        <v>49</v>
      </c>
      <c r="U40" s="27" t="s">
        <v>203</v>
      </c>
      <c r="V40" s="27" t="s">
        <v>151</v>
      </c>
      <c r="X40" s="27">
        <v>10000</v>
      </c>
      <c r="Y40" s="27">
        <v>4</v>
      </c>
      <c r="Z40" s="27">
        <f t="shared" si="1"/>
        <v>2500</v>
      </c>
      <c r="AA40" s="26" t="s">
        <v>164</v>
      </c>
      <c r="AB40" s="26">
        <v>404910110004373</v>
      </c>
      <c r="AC40" s="27" t="s">
        <v>223</v>
      </c>
      <c r="AD40" s="27" t="s">
        <v>224</v>
      </c>
      <c r="AE40" s="27" t="s">
        <v>151</v>
      </c>
      <c r="AI40" s="27" t="s">
        <v>225</v>
      </c>
      <c r="AJ40" s="36" t="s">
        <v>226</v>
      </c>
      <c r="AK40" s="36" t="s">
        <v>227</v>
      </c>
      <c r="AL40" s="36" t="s">
        <v>179</v>
      </c>
    </row>
    <row r="41" spans="1:41" ht="15.75" customHeight="1" x14ac:dyDescent="0.2">
      <c r="B41" s="1">
        <v>9</v>
      </c>
      <c r="C41" s="27" t="s">
        <v>228</v>
      </c>
      <c r="D41" s="27" t="s">
        <v>229</v>
      </c>
      <c r="E41" s="27" t="s">
        <v>78</v>
      </c>
      <c r="F41" s="38"/>
      <c r="G41" s="38" t="s">
        <v>230</v>
      </c>
      <c r="H41" s="42">
        <v>23</v>
      </c>
      <c r="I41" s="27" t="s">
        <v>231</v>
      </c>
      <c r="K41" s="27">
        <v>6289353046</v>
      </c>
      <c r="L41" s="36" t="s">
        <v>81</v>
      </c>
      <c r="M41" s="27" t="s">
        <v>82</v>
      </c>
      <c r="N41" s="17"/>
      <c r="O41" s="27" t="s">
        <v>46</v>
      </c>
      <c r="P41" s="27" t="s">
        <v>47</v>
      </c>
      <c r="Q41" s="27" t="s">
        <v>61</v>
      </c>
      <c r="R41" s="27" t="s">
        <v>83</v>
      </c>
      <c r="T41" s="27">
        <v>1</v>
      </c>
      <c r="U41" s="27" t="s">
        <v>150</v>
      </c>
      <c r="V41" s="27" t="s">
        <v>151</v>
      </c>
      <c r="X41" s="27">
        <v>5000</v>
      </c>
      <c r="Y41" s="27">
        <v>3</v>
      </c>
      <c r="Z41" s="35">
        <f t="shared" si="1"/>
        <v>1666.6666666666667</v>
      </c>
      <c r="AA41" s="26" t="s">
        <v>204</v>
      </c>
      <c r="AB41" s="26">
        <v>39501282147</v>
      </c>
      <c r="AC41" s="27" t="s">
        <v>232</v>
      </c>
      <c r="AD41" s="27" t="s">
        <v>233</v>
      </c>
      <c r="AE41" s="27" t="s">
        <v>151</v>
      </c>
      <c r="AI41" s="27" t="s">
        <v>194</v>
      </c>
      <c r="AJ41" s="36" t="s">
        <v>234</v>
      </c>
      <c r="AK41" s="36" t="s">
        <v>235</v>
      </c>
      <c r="AL41" s="36" t="s">
        <v>236</v>
      </c>
    </row>
    <row r="42" spans="1:41" ht="26.25" x14ac:dyDescent="0.25">
      <c r="B42" s="1">
        <v>10</v>
      </c>
      <c r="C42" s="27" t="s">
        <v>237</v>
      </c>
      <c r="D42" s="27" t="s">
        <v>238</v>
      </c>
      <c r="E42" s="27" t="s">
        <v>43</v>
      </c>
      <c r="F42" s="40"/>
      <c r="G42" s="40">
        <v>32568</v>
      </c>
      <c r="H42" s="31">
        <v>33</v>
      </c>
      <c r="I42" s="27" t="s">
        <v>239</v>
      </c>
      <c r="K42" s="27">
        <v>7003429652</v>
      </c>
      <c r="L42" s="36" t="s">
        <v>81</v>
      </c>
      <c r="M42" s="27" t="s">
        <v>82</v>
      </c>
      <c r="N42" s="17"/>
      <c r="O42" s="27" t="s">
        <v>46</v>
      </c>
      <c r="P42" s="27" t="s">
        <v>175</v>
      </c>
      <c r="Q42" s="27" t="s">
        <v>61</v>
      </c>
      <c r="R42" s="27" t="s">
        <v>83</v>
      </c>
      <c r="S42" s="27">
        <v>30</v>
      </c>
      <c r="T42" s="27">
        <v>0</v>
      </c>
      <c r="U42" s="27" t="s">
        <v>150</v>
      </c>
      <c r="V42" s="27" t="s">
        <v>151</v>
      </c>
      <c r="X42" s="27">
        <v>9000</v>
      </c>
      <c r="Y42" s="27">
        <v>4</v>
      </c>
      <c r="Z42" s="27">
        <f t="shared" si="1"/>
        <v>2250</v>
      </c>
      <c r="AA42" s="26" t="s">
        <v>240</v>
      </c>
      <c r="AB42" s="24">
        <v>37198100004430</v>
      </c>
      <c r="AC42" s="27" t="s">
        <v>215</v>
      </c>
      <c r="AD42" s="24" t="s">
        <v>241</v>
      </c>
      <c r="AE42" s="27" t="s">
        <v>151</v>
      </c>
      <c r="AI42" s="27" t="s">
        <v>207</v>
      </c>
      <c r="AJ42" s="36" t="s">
        <v>242</v>
      </c>
      <c r="AK42" s="36" t="s">
        <v>243</v>
      </c>
      <c r="AL42" s="36" t="s">
        <v>244</v>
      </c>
    </row>
    <row r="43" spans="1:41" ht="16.5" customHeight="1" x14ac:dyDescent="0.25">
      <c r="B43" s="1">
        <v>11</v>
      </c>
      <c r="C43" s="27" t="s">
        <v>245</v>
      </c>
      <c r="D43" s="24" t="s">
        <v>246</v>
      </c>
      <c r="E43" s="27" t="s">
        <v>43</v>
      </c>
      <c r="F43" s="30"/>
      <c r="G43" s="30">
        <v>36011</v>
      </c>
      <c r="H43" s="42">
        <v>24</v>
      </c>
      <c r="I43" s="27" t="s">
        <v>247</v>
      </c>
      <c r="K43" s="27">
        <v>6291826736</v>
      </c>
      <c r="L43" s="36" t="s">
        <v>81</v>
      </c>
      <c r="M43" s="27" t="s">
        <v>82</v>
      </c>
      <c r="N43" s="17"/>
      <c r="O43" s="27" t="s">
        <v>46</v>
      </c>
      <c r="P43" s="27" t="s">
        <v>175</v>
      </c>
      <c r="Q43" s="27" t="s">
        <v>48</v>
      </c>
      <c r="R43" s="27" t="s">
        <v>49</v>
      </c>
      <c r="U43" s="27" t="s">
        <v>150</v>
      </c>
      <c r="V43" s="27" t="s">
        <v>151</v>
      </c>
      <c r="X43" s="27">
        <v>8000</v>
      </c>
      <c r="Y43" s="27">
        <v>3</v>
      </c>
      <c r="Z43" s="27">
        <f t="shared" si="1"/>
        <v>2666.6666666666665</v>
      </c>
      <c r="AA43" s="26" t="s">
        <v>248</v>
      </c>
      <c r="AB43" s="27">
        <v>343011053896</v>
      </c>
      <c r="AC43" s="27" t="s">
        <v>249</v>
      </c>
      <c r="AD43" s="27" t="s">
        <v>250</v>
      </c>
      <c r="AE43" s="27" t="s">
        <v>251</v>
      </c>
      <c r="AF43" s="27" t="s">
        <v>252</v>
      </c>
      <c r="AH43" s="27">
        <v>1200</v>
      </c>
      <c r="AI43" s="27" t="s">
        <v>207</v>
      </c>
      <c r="AJ43" s="36" t="s">
        <v>253</v>
      </c>
      <c r="AK43" s="36" t="s">
        <v>254</v>
      </c>
      <c r="AL43" s="36" t="s">
        <v>244</v>
      </c>
    </row>
    <row r="44" spans="1:41" ht="15" customHeight="1" x14ac:dyDescent="0.25">
      <c r="B44" s="1">
        <v>12</v>
      </c>
      <c r="C44" s="27" t="s">
        <v>255</v>
      </c>
      <c r="D44" s="27" t="s">
        <v>256</v>
      </c>
      <c r="E44" s="27" t="s">
        <v>43</v>
      </c>
      <c r="F44" s="38"/>
      <c r="G44" s="38" t="s">
        <v>257</v>
      </c>
      <c r="H44" s="42">
        <v>23</v>
      </c>
      <c r="I44" s="27" t="s">
        <v>258</v>
      </c>
      <c r="K44" s="27">
        <v>6289184267</v>
      </c>
      <c r="L44" s="36" t="s">
        <v>259</v>
      </c>
      <c r="M44" s="27"/>
      <c r="N44" s="17"/>
      <c r="O44" s="27"/>
      <c r="P44" s="27" t="s">
        <v>47</v>
      </c>
      <c r="Q44" s="27" t="s">
        <v>48</v>
      </c>
      <c r="R44" s="27" t="s">
        <v>260</v>
      </c>
      <c r="S44" s="27">
        <v>17</v>
      </c>
      <c r="U44" s="27" t="s">
        <v>261</v>
      </c>
      <c r="V44" s="27" t="s">
        <v>151</v>
      </c>
      <c r="X44" s="27">
        <v>9000</v>
      </c>
      <c r="Y44" s="27">
        <v>3</v>
      </c>
      <c r="Z44" s="27">
        <f t="shared" si="1"/>
        <v>3000</v>
      </c>
      <c r="AA44" s="26" t="s">
        <v>214</v>
      </c>
      <c r="AB44" s="26">
        <v>458502010019978</v>
      </c>
      <c r="AC44" s="27" t="s">
        <v>262</v>
      </c>
      <c r="AD44" s="24" t="s">
        <v>263</v>
      </c>
      <c r="AE44" s="27" t="s">
        <v>151</v>
      </c>
      <c r="AI44" s="27" t="s">
        <v>264</v>
      </c>
      <c r="AJ44" s="36" t="s">
        <v>265</v>
      </c>
      <c r="AK44" s="36" t="s">
        <v>266</v>
      </c>
      <c r="AL44" s="36" t="s">
        <v>242</v>
      </c>
    </row>
    <row r="45" spans="1:41" ht="15.75" customHeight="1" x14ac:dyDescent="0.25">
      <c r="B45" s="1">
        <v>13</v>
      </c>
      <c r="C45" s="27" t="s">
        <v>267</v>
      </c>
      <c r="D45" s="24" t="s">
        <v>268</v>
      </c>
      <c r="E45" s="27" t="s">
        <v>43</v>
      </c>
      <c r="F45" s="30"/>
      <c r="G45" s="30">
        <v>30807</v>
      </c>
      <c r="H45" s="43">
        <v>39</v>
      </c>
      <c r="I45" s="27" t="s">
        <v>269</v>
      </c>
      <c r="K45" s="27">
        <v>9007833485</v>
      </c>
      <c r="L45" s="36" t="s">
        <v>259</v>
      </c>
      <c r="M45" s="27"/>
      <c r="N45" s="17"/>
      <c r="O45" s="27"/>
      <c r="P45" s="27" t="s">
        <v>47</v>
      </c>
      <c r="Q45" s="27" t="s">
        <v>48</v>
      </c>
      <c r="R45" s="27" t="s">
        <v>83</v>
      </c>
      <c r="S45" s="27">
        <v>30</v>
      </c>
      <c r="T45" s="27">
        <v>1</v>
      </c>
      <c r="U45" s="27" t="s">
        <v>261</v>
      </c>
      <c r="V45" s="27" t="s">
        <v>151</v>
      </c>
      <c r="X45" s="27">
        <v>15000</v>
      </c>
      <c r="Y45" s="27">
        <v>3</v>
      </c>
      <c r="Z45" s="44">
        <f t="shared" si="1"/>
        <v>5000</v>
      </c>
      <c r="AA45" s="24" t="s">
        <v>248</v>
      </c>
      <c r="AB45" s="27">
        <v>915010261036</v>
      </c>
      <c r="AC45" s="27" t="s">
        <v>262</v>
      </c>
      <c r="AD45" s="24" t="s">
        <v>270</v>
      </c>
      <c r="AE45" s="27" t="s">
        <v>151</v>
      </c>
      <c r="AI45" s="27" t="s">
        <v>194</v>
      </c>
      <c r="AJ45" s="36" t="s">
        <v>271</v>
      </c>
      <c r="AK45" s="36" t="s">
        <v>272</v>
      </c>
      <c r="AL45" s="36" t="s">
        <v>242</v>
      </c>
    </row>
    <row r="46" spans="1:41" ht="15" customHeight="1" x14ac:dyDescent="0.25">
      <c r="B46" s="1">
        <v>14</v>
      </c>
      <c r="C46" s="27" t="s">
        <v>273</v>
      </c>
      <c r="D46" s="27" t="s">
        <v>274</v>
      </c>
      <c r="E46" s="27" t="s">
        <v>78</v>
      </c>
      <c r="F46" s="38"/>
      <c r="G46" s="38" t="s">
        <v>275</v>
      </c>
      <c r="H46" s="42">
        <v>24</v>
      </c>
      <c r="I46" s="27" t="s">
        <v>276</v>
      </c>
      <c r="J46" s="45" t="s">
        <v>277</v>
      </c>
      <c r="K46" s="27">
        <v>7980745845</v>
      </c>
      <c r="L46" s="36" t="s">
        <v>81</v>
      </c>
      <c r="M46" s="27" t="s">
        <v>82</v>
      </c>
      <c r="N46" s="17"/>
      <c r="O46" s="27" t="s">
        <v>46</v>
      </c>
      <c r="P46" s="27" t="s">
        <v>47</v>
      </c>
      <c r="Q46" s="27" t="s">
        <v>61</v>
      </c>
      <c r="R46" s="27" t="s">
        <v>260</v>
      </c>
      <c r="S46" s="27">
        <v>18</v>
      </c>
      <c r="U46" s="27" t="s">
        <v>190</v>
      </c>
      <c r="V46" s="27" t="s">
        <v>151</v>
      </c>
      <c r="X46" s="27">
        <v>20000</v>
      </c>
      <c r="Y46" s="27">
        <v>5</v>
      </c>
      <c r="Z46" s="41">
        <f t="shared" si="1"/>
        <v>4000</v>
      </c>
      <c r="AA46" s="26" t="s">
        <v>278</v>
      </c>
      <c r="AB46" s="26" t="s">
        <v>279</v>
      </c>
      <c r="AC46" s="27" t="s">
        <v>280</v>
      </c>
      <c r="AD46" s="24" t="s">
        <v>281</v>
      </c>
      <c r="AE46" s="27" t="s">
        <v>151</v>
      </c>
      <c r="AI46" s="27" t="s">
        <v>167</v>
      </c>
      <c r="AJ46" s="36" t="s">
        <v>282</v>
      </c>
      <c r="AK46" s="36" t="s">
        <v>272</v>
      </c>
      <c r="AL46" s="36" t="s">
        <v>236</v>
      </c>
    </row>
    <row r="47" spans="1:41" ht="15.75" customHeight="1" x14ac:dyDescent="0.25">
      <c r="B47" s="1">
        <v>15</v>
      </c>
      <c r="C47" s="27" t="s">
        <v>283</v>
      </c>
      <c r="D47" s="27" t="s">
        <v>284</v>
      </c>
      <c r="E47" s="27" t="s">
        <v>78</v>
      </c>
      <c r="F47" s="38"/>
      <c r="G47" s="38" t="s">
        <v>285</v>
      </c>
      <c r="H47" s="31">
        <v>35</v>
      </c>
      <c r="I47" s="27" t="s">
        <v>286</v>
      </c>
      <c r="K47" s="27">
        <v>6291098554</v>
      </c>
      <c r="L47" s="36" t="s">
        <v>81</v>
      </c>
      <c r="M47" s="27" t="s">
        <v>82</v>
      </c>
      <c r="N47" s="17"/>
      <c r="O47" s="27" t="s">
        <v>46</v>
      </c>
      <c r="P47" s="27" t="s">
        <v>47</v>
      </c>
      <c r="Q47" s="27" t="s">
        <v>61</v>
      </c>
      <c r="R47" s="27" t="s">
        <v>83</v>
      </c>
      <c r="S47" s="27">
        <v>20</v>
      </c>
      <c r="T47" s="27">
        <v>1</v>
      </c>
      <c r="U47" s="27" t="s">
        <v>150</v>
      </c>
      <c r="V47" s="27" t="s">
        <v>151</v>
      </c>
      <c r="X47" s="27">
        <v>19000</v>
      </c>
      <c r="Y47" s="27">
        <v>6</v>
      </c>
      <c r="Z47" s="41">
        <f t="shared" si="1"/>
        <v>3166.6666666666665</v>
      </c>
      <c r="AA47" s="26" t="s">
        <v>287</v>
      </c>
      <c r="AB47" s="26">
        <v>4163211003793</v>
      </c>
      <c r="AC47" s="27" t="s">
        <v>288</v>
      </c>
      <c r="AD47" s="24" t="s">
        <v>289</v>
      </c>
      <c r="AE47" s="27" t="s">
        <v>151</v>
      </c>
      <c r="AI47" s="27" t="s">
        <v>194</v>
      </c>
      <c r="AJ47" s="36" t="s">
        <v>290</v>
      </c>
      <c r="AK47" s="36" t="s">
        <v>291</v>
      </c>
      <c r="AL47" s="36" t="s">
        <v>292</v>
      </c>
    </row>
    <row r="48" spans="1:41" ht="18" customHeight="1" x14ac:dyDescent="0.25">
      <c r="B48" s="1">
        <v>16</v>
      </c>
      <c r="C48" s="27" t="s">
        <v>293</v>
      </c>
      <c r="D48" s="46" t="s">
        <v>294</v>
      </c>
      <c r="E48" s="27" t="s">
        <v>43</v>
      </c>
      <c r="F48" s="40"/>
      <c r="G48" s="40">
        <v>34458</v>
      </c>
      <c r="H48" s="39">
        <v>29</v>
      </c>
      <c r="I48" s="27" t="s">
        <v>295</v>
      </c>
      <c r="J48" s="27" t="s">
        <v>296</v>
      </c>
      <c r="K48" s="27">
        <v>8910232953</v>
      </c>
      <c r="L48" s="36" t="s">
        <v>81</v>
      </c>
      <c r="M48" s="27" t="s">
        <v>82</v>
      </c>
      <c r="N48" s="17"/>
      <c r="O48" s="27" t="s">
        <v>46</v>
      </c>
      <c r="P48" s="27" t="s">
        <v>175</v>
      </c>
      <c r="Q48" s="27" t="s">
        <v>48</v>
      </c>
      <c r="R48" s="27" t="s">
        <v>49</v>
      </c>
      <c r="U48" s="27" t="s">
        <v>297</v>
      </c>
      <c r="V48" s="27" t="s">
        <v>151</v>
      </c>
      <c r="X48" s="27">
        <v>15000</v>
      </c>
      <c r="Y48" s="27">
        <v>8</v>
      </c>
      <c r="Z48" s="35">
        <f t="shared" si="1"/>
        <v>1875</v>
      </c>
      <c r="AA48" s="26" t="s">
        <v>248</v>
      </c>
      <c r="AB48" s="26">
        <v>343011019397</v>
      </c>
      <c r="AC48" s="27" t="s">
        <v>249</v>
      </c>
      <c r="AD48" s="24" t="s">
        <v>250</v>
      </c>
      <c r="AE48" s="27" t="s">
        <v>251</v>
      </c>
      <c r="AF48" s="27" t="s">
        <v>298</v>
      </c>
      <c r="AH48" s="27">
        <v>5000</v>
      </c>
      <c r="AI48" s="27" t="s">
        <v>207</v>
      </c>
      <c r="AJ48" s="36" t="s">
        <v>299</v>
      </c>
      <c r="AK48" s="36" t="s">
        <v>300</v>
      </c>
      <c r="AL48" s="36" t="s">
        <v>301</v>
      </c>
    </row>
    <row r="49" spans="1:38" ht="17.25" customHeight="1" x14ac:dyDescent="0.25">
      <c r="B49" s="1">
        <v>17</v>
      </c>
      <c r="C49" s="27" t="s">
        <v>302</v>
      </c>
      <c r="D49" s="27" t="s">
        <v>303</v>
      </c>
      <c r="E49" s="27" t="s">
        <v>43</v>
      </c>
      <c r="F49" s="38"/>
      <c r="G49" s="38" t="s">
        <v>304</v>
      </c>
      <c r="H49" s="42">
        <v>23</v>
      </c>
      <c r="I49" s="27" t="s">
        <v>305</v>
      </c>
      <c r="K49" s="27">
        <v>8902321359</v>
      </c>
      <c r="L49" s="36" t="s">
        <v>81</v>
      </c>
      <c r="M49" s="27" t="s">
        <v>82</v>
      </c>
      <c r="N49" s="17"/>
      <c r="O49" s="27" t="s">
        <v>46</v>
      </c>
      <c r="P49" s="27" t="s">
        <v>47</v>
      </c>
      <c r="Q49" s="27" t="s">
        <v>48</v>
      </c>
      <c r="R49" s="27" t="s">
        <v>49</v>
      </c>
      <c r="U49" s="27" t="s">
        <v>261</v>
      </c>
      <c r="V49" s="27" t="s">
        <v>151</v>
      </c>
      <c r="W49" s="27"/>
      <c r="X49" s="27">
        <v>8000</v>
      </c>
      <c r="Y49" s="27">
        <v>7</v>
      </c>
      <c r="Z49" s="35">
        <f t="shared" si="1"/>
        <v>1142.8571428571429</v>
      </c>
      <c r="AA49" s="27" t="s">
        <v>306</v>
      </c>
      <c r="AB49" s="27">
        <v>6291000101564</v>
      </c>
      <c r="AC49" s="27" t="s">
        <v>307</v>
      </c>
      <c r="AD49" s="24" t="s">
        <v>308</v>
      </c>
      <c r="AE49" s="27" t="s">
        <v>251</v>
      </c>
      <c r="AF49" s="27" t="s">
        <v>309</v>
      </c>
      <c r="AH49" s="27">
        <v>1000</v>
      </c>
      <c r="AI49" s="27" t="s">
        <v>310</v>
      </c>
      <c r="AJ49" s="36" t="s">
        <v>299</v>
      </c>
      <c r="AK49" s="36" t="s">
        <v>311</v>
      </c>
      <c r="AL49" s="36" t="s">
        <v>244</v>
      </c>
    </row>
    <row r="50" spans="1:38" ht="15.75" customHeight="1" x14ac:dyDescent="0.25">
      <c r="B50" s="1">
        <v>18</v>
      </c>
      <c r="C50" s="27" t="s">
        <v>312</v>
      </c>
      <c r="D50" s="27" t="s">
        <v>313</v>
      </c>
      <c r="E50" s="27" t="s">
        <v>43</v>
      </c>
      <c r="F50" s="40"/>
      <c r="G50" s="40">
        <v>36627</v>
      </c>
      <c r="H50" s="42">
        <v>23</v>
      </c>
      <c r="I50" s="27" t="s">
        <v>314</v>
      </c>
      <c r="K50" s="27">
        <v>8583060430</v>
      </c>
      <c r="L50" s="36" t="s">
        <v>81</v>
      </c>
      <c r="M50" s="27" t="s">
        <v>82</v>
      </c>
      <c r="N50" s="17"/>
      <c r="O50" s="27" t="s">
        <v>46</v>
      </c>
      <c r="P50" s="27" t="s">
        <v>47</v>
      </c>
      <c r="Q50" s="27" t="s">
        <v>48</v>
      </c>
      <c r="R50" s="27" t="s">
        <v>49</v>
      </c>
      <c r="U50" s="27" t="s">
        <v>261</v>
      </c>
      <c r="V50" s="27" t="s">
        <v>151</v>
      </c>
      <c r="X50" s="27">
        <v>11000</v>
      </c>
      <c r="Y50" s="27">
        <v>4</v>
      </c>
      <c r="Z50" s="27">
        <f t="shared" si="1"/>
        <v>2750</v>
      </c>
      <c r="AA50" s="24" t="s">
        <v>164</v>
      </c>
      <c r="AB50" s="26">
        <v>404910110010126</v>
      </c>
      <c r="AC50" s="27" t="s">
        <v>315</v>
      </c>
      <c r="AD50" s="24" t="s">
        <v>224</v>
      </c>
      <c r="AE50" s="27" t="s">
        <v>151</v>
      </c>
      <c r="AI50" s="27" t="s">
        <v>316</v>
      </c>
      <c r="AJ50" s="36" t="s">
        <v>317</v>
      </c>
      <c r="AK50" s="36" t="s">
        <v>318</v>
      </c>
      <c r="AL50" s="36" t="s">
        <v>242</v>
      </c>
    </row>
    <row r="51" spans="1:38" ht="15.75" customHeight="1" x14ac:dyDescent="0.25">
      <c r="B51" s="1">
        <v>19</v>
      </c>
      <c r="C51" s="27" t="s">
        <v>319</v>
      </c>
      <c r="D51" s="27" t="s">
        <v>320</v>
      </c>
      <c r="E51" s="27" t="s">
        <v>43</v>
      </c>
      <c r="F51" s="38"/>
      <c r="G51" s="38" t="s">
        <v>321</v>
      </c>
      <c r="H51" s="42">
        <v>23</v>
      </c>
      <c r="I51" s="27" t="s">
        <v>322</v>
      </c>
      <c r="K51" s="27">
        <v>9038207885</v>
      </c>
      <c r="L51" s="36" t="s">
        <v>81</v>
      </c>
      <c r="M51" s="27" t="s">
        <v>82</v>
      </c>
      <c r="N51" s="17"/>
      <c r="O51" s="27" t="s">
        <v>46</v>
      </c>
      <c r="P51" s="27" t="s">
        <v>47</v>
      </c>
      <c r="Q51" s="27" t="s">
        <v>48</v>
      </c>
      <c r="R51" s="27" t="s">
        <v>49</v>
      </c>
      <c r="U51" s="27" t="s">
        <v>203</v>
      </c>
      <c r="V51" s="27" t="s">
        <v>151</v>
      </c>
      <c r="X51" s="27">
        <v>7000</v>
      </c>
      <c r="Y51" s="27">
        <v>4</v>
      </c>
      <c r="Z51" s="35">
        <f t="shared" si="1"/>
        <v>1750</v>
      </c>
      <c r="AA51" s="26" t="s">
        <v>240</v>
      </c>
      <c r="AB51" s="24">
        <v>80850100005810</v>
      </c>
      <c r="AC51" s="27" t="s">
        <v>323</v>
      </c>
      <c r="AD51" s="24" t="s">
        <v>324</v>
      </c>
      <c r="AE51" s="27" t="s">
        <v>151</v>
      </c>
      <c r="AI51" s="27" t="s">
        <v>325</v>
      </c>
      <c r="AJ51" s="36" t="s">
        <v>234</v>
      </c>
      <c r="AK51" s="36" t="s">
        <v>326</v>
      </c>
      <c r="AL51" s="36" t="s">
        <v>327</v>
      </c>
    </row>
    <row r="52" spans="1:38" ht="16.5" customHeight="1" x14ac:dyDescent="0.25">
      <c r="B52" s="1">
        <v>20</v>
      </c>
      <c r="C52" s="27" t="s">
        <v>328</v>
      </c>
      <c r="D52" s="27" t="s">
        <v>329</v>
      </c>
      <c r="E52" s="27" t="s">
        <v>43</v>
      </c>
      <c r="F52" s="38"/>
      <c r="G52" s="38" t="s">
        <v>330</v>
      </c>
      <c r="H52" s="1">
        <v>18</v>
      </c>
      <c r="I52" s="27" t="s">
        <v>331</v>
      </c>
      <c r="K52" s="27">
        <v>9330365563</v>
      </c>
      <c r="L52" s="36" t="s">
        <v>81</v>
      </c>
      <c r="M52" s="27" t="s">
        <v>82</v>
      </c>
      <c r="N52" s="17"/>
      <c r="O52" s="27" t="s">
        <v>46</v>
      </c>
      <c r="P52" s="27" t="s">
        <v>47</v>
      </c>
      <c r="Q52" s="27" t="s">
        <v>48</v>
      </c>
      <c r="R52" s="27" t="s">
        <v>49</v>
      </c>
      <c r="U52" s="27" t="s">
        <v>190</v>
      </c>
      <c r="V52" s="27" t="s">
        <v>151</v>
      </c>
      <c r="X52" s="27">
        <v>8000</v>
      </c>
      <c r="Y52" s="27">
        <v>6</v>
      </c>
      <c r="Z52" s="35">
        <f t="shared" si="1"/>
        <v>1333.3333333333333</v>
      </c>
      <c r="AA52" s="24" t="s">
        <v>204</v>
      </c>
      <c r="AB52" s="26">
        <v>36176757917</v>
      </c>
      <c r="AC52" s="27" t="s">
        <v>332</v>
      </c>
      <c r="AD52" s="24" t="s">
        <v>333</v>
      </c>
      <c r="AE52" s="27" t="s">
        <v>151</v>
      </c>
      <c r="AI52" s="27" t="s">
        <v>167</v>
      </c>
      <c r="AJ52" s="36" t="s">
        <v>334</v>
      </c>
      <c r="AK52" s="36" t="s">
        <v>335</v>
      </c>
      <c r="AL52" s="36" t="s">
        <v>336</v>
      </c>
    </row>
    <row r="53" spans="1:38" ht="16.5" customHeight="1" x14ac:dyDescent="0.2">
      <c r="B53" s="1">
        <v>21</v>
      </c>
      <c r="C53" s="27" t="s">
        <v>337</v>
      </c>
      <c r="D53" s="27" t="s">
        <v>338</v>
      </c>
      <c r="E53" s="27" t="s">
        <v>43</v>
      </c>
      <c r="F53" s="30"/>
      <c r="G53" s="30">
        <v>36352</v>
      </c>
      <c r="H53" s="42">
        <v>23</v>
      </c>
      <c r="I53" s="27" t="s">
        <v>339</v>
      </c>
      <c r="K53" s="27">
        <v>6290636181</v>
      </c>
      <c r="L53" s="36" t="s">
        <v>81</v>
      </c>
      <c r="M53" s="27"/>
      <c r="N53" s="17"/>
      <c r="O53" s="27"/>
      <c r="P53" s="27" t="s">
        <v>47</v>
      </c>
      <c r="Q53" s="27" t="s">
        <v>48</v>
      </c>
      <c r="R53" s="27" t="s">
        <v>340</v>
      </c>
      <c r="U53" s="27" t="s">
        <v>203</v>
      </c>
      <c r="V53" s="27" t="s">
        <v>151</v>
      </c>
      <c r="X53" s="27">
        <v>8000</v>
      </c>
      <c r="Y53" s="27">
        <v>2</v>
      </c>
      <c r="Z53" s="41">
        <f t="shared" si="1"/>
        <v>4000</v>
      </c>
      <c r="AA53" s="27" t="s">
        <v>341</v>
      </c>
      <c r="AB53" s="27">
        <v>50100561676224</v>
      </c>
      <c r="AC53" s="27" t="s">
        <v>342</v>
      </c>
      <c r="AD53" s="27" t="s">
        <v>343</v>
      </c>
      <c r="AE53" s="27" t="s">
        <v>151</v>
      </c>
      <c r="AI53" s="27" t="s">
        <v>344</v>
      </c>
      <c r="AJ53" s="36" t="s">
        <v>345</v>
      </c>
      <c r="AK53" s="36" t="s">
        <v>346</v>
      </c>
      <c r="AL53" s="36" t="s">
        <v>347</v>
      </c>
    </row>
    <row r="54" spans="1:38" ht="16.5" customHeight="1" x14ac:dyDescent="0.25">
      <c r="B54" s="1">
        <v>22</v>
      </c>
      <c r="C54" s="27" t="s">
        <v>348</v>
      </c>
      <c r="D54" s="27" t="s">
        <v>349</v>
      </c>
      <c r="E54" s="27" t="s">
        <v>43</v>
      </c>
      <c r="F54" s="38"/>
      <c r="G54" s="38" t="s">
        <v>350</v>
      </c>
      <c r="H54" s="42">
        <v>24</v>
      </c>
      <c r="I54" s="27" t="s">
        <v>351</v>
      </c>
      <c r="K54" s="27">
        <v>6289932141</v>
      </c>
      <c r="L54" s="36" t="s">
        <v>81</v>
      </c>
      <c r="M54" s="27"/>
      <c r="N54" s="17"/>
      <c r="O54" s="27"/>
      <c r="P54" s="27" t="s">
        <v>47</v>
      </c>
      <c r="Q54" s="27" t="s">
        <v>48</v>
      </c>
      <c r="R54" s="27" t="s">
        <v>49</v>
      </c>
      <c r="U54" s="27" t="s">
        <v>150</v>
      </c>
      <c r="V54" s="27" t="s">
        <v>151</v>
      </c>
      <c r="X54" s="27">
        <v>8000</v>
      </c>
      <c r="Y54" s="27">
        <v>5</v>
      </c>
      <c r="Z54" s="35">
        <f t="shared" si="1"/>
        <v>1600</v>
      </c>
      <c r="AA54" s="24" t="s">
        <v>248</v>
      </c>
      <c r="AB54" s="24">
        <v>915200100010234</v>
      </c>
      <c r="AC54" s="27" t="s">
        <v>352</v>
      </c>
      <c r="AD54" s="24" t="s">
        <v>270</v>
      </c>
      <c r="AE54" s="27" t="s">
        <v>251</v>
      </c>
      <c r="AF54" s="27" t="s">
        <v>353</v>
      </c>
      <c r="AH54" s="27">
        <v>5000</v>
      </c>
      <c r="AI54" s="27" t="s">
        <v>354</v>
      </c>
      <c r="AJ54" s="36" t="s">
        <v>345</v>
      </c>
      <c r="AK54" s="36" t="s">
        <v>355</v>
      </c>
      <c r="AL54" s="36" t="s">
        <v>356</v>
      </c>
    </row>
    <row r="55" spans="1:38" ht="16.5" customHeight="1" x14ac:dyDescent="0.25">
      <c r="B55" s="1">
        <v>23</v>
      </c>
      <c r="C55" s="27" t="s">
        <v>357</v>
      </c>
      <c r="D55" s="46" t="s">
        <v>358</v>
      </c>
      <c r="E55" s="27" t="s">
        <v>43</v>
      </c>
      <c r="F55" s="38"/>
      <c r="G55" s="38" t="s">
        <v>359</v>
      </c>
      <c r="H55" s="31">
        <v>33</v>
      </c>
      <c r="I55" s="27" t="s">
        <v>360</v>
      </c>
      <c r="K55" s="27">
        <v>8961264863</v>
      </c>
      <c r="L55" s="36" t="s">
        <v>81</v>
      </c>
      <c r="M55" s="27"/>
      <c r="N55" s="17"/>
      <c r="O55" s="27"/>
      <c r="P55" s="27" t="s">
        <v>47</v>
      </c>
      <c r="Q55" s="27" t="s">
        <v>48</v>
      </c>
      <c r="R55" s="27" t="s">
        <v>83</v>
      </c>
      <c r="S55" s="27">
        <v>21</v>
      </c>
      <c r="U55" s="27" t="s">
        <v>150</v>
      </c>
      <c r="V55" s="27" t="s">
        <v>151</v>
      </c>
      <c r="X55" s="27">
        <v>5000</v>
      </c>
      <c r="Y55" s="27">
        <v>2</v>
      </c>
      <c r="Z55" s="27">
        <f t="shared" si="1"/>
        <v>2500</v>
      </c>
      <c r="AA55" s="26" t="s">
        <v>204</v>
      </c>
      <c r="AB55" s="27">
        <v>39479308658</v>
      </c>
      <c r="AC55" s="27" t="s">
        <v>361</v>
      </c>
      <c r="AD55" s="24" t="s">
        <v>362</v>
      </c>
      <c r="AE55" s="27" t="s">
        <v>251</v>
      </c>
      <c r="AF55" s="27" t="s">
        <v>363</v>
      </c>
      <c r="AH55" s="27">
        <v>10000</v>
      </c>
      <c r="AI55" s="27" t="s">
        <v>344</v>
      </c>
      <c r="AJ55" s="36" t="s">
        <v>364</v>
      </c>
      <c r="AK55" s="36" t="s">
        <v>243</v>
      </c>
      <c r="AL55" s="36" t="s">
        <v>365</v>
      </c>
    </row>
    <row r="56" spans="1:38" ht="17.25" customHeight="1" x14ac:dyDescent="0.25">
      <c r="B56" s="1">
        <v>24</v>
      </c>
      <c r="C56" s="27" t="s">
        <v>366</v>
      </c>
      <c r="D56" s="46" t="s">
        <v>367</v>
      </c>
      <c r="E56" s="27" t="s">
        <v>43</v>
      </c>
      <c r="F56" s="30"/>
      <c r="G56" s="30">
        <v>31778</v>
      </c>
      <c r="H56" s="43">
        <v>36</v>
      </c>
      <c r="I56" s="27" t="s">
        <v>368</v>
      </c>
      <c r="K56" s="27">
        <v>9038174454</v>
      </c>
      <c r="L56" s="36" t="s">
        <v>81</v>
      </c>
      <c r="M56" s="27"/>
      <c r="N56" s="17"/>
      <c r="O56" s="27"/>
      <c r="P56" s="27" t="s">
        <v>47</v>
      </c>
      <c r="Q56" s="27" t="s">
        <v>48</v>
      </c>
      <c r="R56" s="27" t="s">
        <v>83</v>
      </c>
      <c r="S56" s="27">
        <v>23</v>
      </c>
      <c r="T56" s="27">
        <v>2</v>
      </c>
      <c r="U56" s="27" t="s">
        <v>190</v>
      </c>
      <c r="V56" s="27" t="s">
        <v>151</v>
      </c>
      <c r="X56" s="27">
        <v>10000</v>
      </c>
      <c r="Y56" s="27">
        <v>4</v>
      </c>
      <c r="Z56" s="27">
        <f t="shared" si="1"/>
        <v>2500</v>
      </c>
      <c r="AA56" s="26" t="s">
        <v>248</v>
      </c>
      <c r="AB56" s="24">
        <v>915010283632</v>
      </c>
      <c r="AC56" s="27" t="s">
        <v>262</v>
      </c>
      <c r="AD56" s="26" t="s">
        <v>270</v>
      </c>
      <c r="AE56" s="27" t="s">
        <v>251</v>
      </c>
      <c r="AF56" s="27" t="s">
        <v>363</v>
      </c>
      <c r="AH56" s="27">
        <v>5000</v>
      </c>
      <c r="AI56" s="27" t="s">
        <v>369</v>
      </c>
      <c r="AJ56" s="36" t="s">
        <v>370</v>
      </c>
      <c r="AK56" s="36" t="s">
        <v>371</v>
      </c>
      <c r="AL56" s="36" t="s">
        <v>372</v>
      </c>
    </row>
    <row r="57" spans="1:38" ht="18" customHeight="1" x14ac:dyDescent="0.25">
      <c r="B57" s="1">
        <v>25</v>
      </c>
      <c r="C57" s="27" t="s">
        <v>373</v>
      </c>
      <c r="D57" s="46" t="s">
        <v>374</v>
      </c>
      <c r="E57" s="27" t="s">
        <v>43</v>
      </c>
      <c r="F57" s="40"/>
      <c r="G57" s="40">
        <v>35835</v>
      </c>
      <c r="H57" s="42">
        <v>25</v>
      </c>
      <c r="I57" s="27" t="s">
        <v>375</v>
      </c>
      <c r="K57" s="27">
        <v>7450950657</v>
      </c>
      <c r="L57" s="36" t="s">
        <v>81</v>
      </c>
      <c r="M57" s="27" t="s">
        <v>82</v>
      </c>
      <c r="N57" s="17"/>
      <c r="O57" s="27" t="s">
        <v>46</v>
      </c>
      <c r="P57" s="27" t="s">
        <v>47</v>
      </c>
      <c r="Q57" s="27" t="s">
        <v>48</v>
      </c>
      <c r="R57" s="27" t="s">
        <v>83</v>
      </c>
      <c r="S57" s="27">
        <v>19</v>
      </c>
      <c r="T57" s="27">
        <v>2</v>
      </c>
      <c r="U57" s="27" t="s">
        <v>203</v>
      </c>
      <c r="V57" s="27" t="s">
        <v>151</v>
      </c>
      <c r="X57" s="27">
        <v>6000</v>
      </c>
      <c r="Y57" s="27">
        <v>4</v>
      </c>
      <c r="Z57" s="35">
        <f t="shared" si="1"/>
        <v>1500</v>
      </c>
      <c r="AA57" s="26" t="s">
        <v>248</v>
      </c>
      <c r="AB57" s="26">
        <v>955010165266</v>
      </c>
      <c r="AC57" s="27" t="s">
        <v>376</v>
      </c>
      <c r="AD57" s="24" t="s">
        <v>377</v>
      </c>
      <c r="AE57" s="27" t="s">
        <v>251</v>
      </c>
      <c r="AF57" s="27" t="s">
        <v>363</v>
      </c>
      <c r="AH57" s="27">
        <v>5000</v>
      </c>
      <c r="AI57" s="27" t="s">
        <v>344</v>
      </c>
      <c r="AJ57" s="36" t="s">
        <v>378</v>
      </c>
      <c r="AK57" s="36" t="s">
        <v>379</v>
      </c>
      <c r="AL57" s="36" t="s">
        <v>242</v>
      </c>
    </row>
    <row r="58" spans="1:38" ht="17.25" customHeight="1" x14ac:dyDescent="0.2">
      <c r="B58" s="1">
        <v>26</v>
      </c>
      <c r="C58" s="27" t="s">
        <v>380</v>
      </c>
      <c r="D58" s="46" t="s">
        <v>381</v>
      </c>
      <c r="E58" s="27" t="s">
        <v>43</v>
      </c>
      <c r="F58" s="38"/>
      <c r="G58" s="38" t="s">
        <v>382</v>
      </c>
      <c r="H58" s="43">
        <v>40</v>
      </c>
      <c r="I58" s="27" t="s">
        <v>383</v>
      </c>
      <c r="K58" s="27">
        <v>8017148657</v>
      </c>
      <c r="L58" s="36" t="s">
        <v>81</v>
      </c>
      <c r="M58" s="27"/>
      <c r="N58" s="17"/>
      <c r="O58" s="27"/>
      <c r="P58" s="27" t="s">
        <v>47</v>
      </c>
      <c r="Q58" s="27" t="s">
        <v>48</v>
      </c>
      <c r="R58" s="27" t="s">
        <v>83</v>
      </c>
      <c r="S58" s="27">
        <v>22</v>
      </c>
      <c r="T58" s="27">
        <v>1</v>
      </c>
      <c r="U58" s="27" t="s">
        <v>190</v>
      </c>
      <c r="V58" s="27" t="s">
        <v>151</v>
      </c>
      <c r="X58" s="27">
        <v>8000</v>
      </c>
      <c r="Y58" s="27">
        <v>5</v>
      </c>
      <c r="Z58" s="35">
        <f t="shared" si="1"/>
        <v>1600</v>
      </c>
      <c r="AA58" s="26" t="s">
        <v>384</v>
      </c>
      <c r="AB58" s="26">
        <v>99980113059120</v>
      </c>
      <c r="AC58" s="27" t="s">
        <v>262</v>
      </c>
      <c r="AD58" s="26" t="s">
        <v>385</v>
      </c>
      <c r="AE58" s="27" t="s">
        <v>251</v>
      </c>
      <c r="AF58" s="27" t="s">
        <v>363</v>
      </c>
      <c r="AH58" s="27">
        <v>4000</v>
      </c>
      <c r="AI58" s="27" t="s">
        <v>194</v>
      </c>
      <c r="AJ58" s="36" t="s">
        <v>345</v>
      </c>
      <c r="AK58" s="36" t="s">
        <v>386</v>
      </c>
      <c r="AL58" s="36" t="s">
        <v>387</v>
      </c>
    </row>
    <row r="59" spans="1:38" ht="15" customHeight="1" x14ac:dyDescent="0.2">
      <c r="B59" s="1">
        <v>27</v>
      </c>
      <c r="C59" s="27" t="s">
        <v>388</v>
      </c>
      <c r="D59" s="46" t="s">
        <v>389</v>
      </c>
      <c r="E59" s="27" t="s">
        <v>43</v>
      </c>
      <c r="F59" s="40"/>
      <c r="G59" s="40">
        <v>37748</v>
      </c>
      <c r="H59" s="1">
        <v>20</v>
      </c>
      <c r="I59" s="27" t="s">
        <v>390</v>
      </c>
      <c r="K59" s="27">
        <v>7439264604</v>
      </c>
      <c r="L59" s="36" t="s">
        <v>81</v>
      </c>
      <c r="M59" s="27"/>
      <c r="N59" s="17"/>
      <c r="O59" s="27"/>
      <c r="P59" s="27" t="s">
        <v>47</v>
      </c>
      <c r="Q59" s="27" t="s">
        <v>61</v>
      </c>
      <c r="R59" s="27" t="s">
        <v>49</v>
      </c>
      <c r="U59" s="27" t="s">
        <v>150</v>
      </c>
      <c r="V59" s="27" t="s">
        <v>151</v>
      </c>
      <c r="X59" s="27">
        <v>15000</v>
      </c>
      <c r="Y59" s="27">
        <v>5</v>
      </c>
      <c r="Z59" s="27">
        <f t="shared" si="1"/>
        <v>3000</v>
      </c>
      <c r="AA59" s="26" t="s">
        <v>204</v>
      </c>
      <c r="AB59" s="27">
        <v>36158755762</v>
      </c>
      <c r="AC59" s="27" t="s">
        <v>391</v>
      </c>
      <c r="AD59" s="26" t="s">
        <v>233</v>
      </c>
      <c r="AE59" s="47"/>
      <c r="AI59" s="27" t="s">
        <v>392</v>
      </c>
      <c r="AJ59" s="36" t="s">
        <v>345</v>
      </c>
      <c r="AK59" s="36" t="s">
        <v>266</v>
      </c>
      <c r="AL59" s="36" t="s">
        <v>393</v>
      </c>
    </row>
    <row r="60" spans="1:38" ht="15.75" customHeight="1" x14ac:dyDescent="0.25">
      <c r="B60" s="1">
        <v>28</v>
      </c>
      <c r="C60" s="27" t="s">
        <v>394</v>
      </c>
      <c r="D60" s="46" t="s">
        <v>395</v>
      </c>
      <c r="E60" s="27" t="s">
        <v>78</v>
      </c>
      <c r="F60" s="30"/>
      <c r="G60" s="30">
        <v>34612</v>
      </c>
      <c r="H60" s="39">
        <v>29</v>
      </c>
      <c r="I60" s="27" t="s">
        <v>396</v>
      </c>
      <c r="K60" s="27">
        <v>7439108437</v>
      </c>
      <c r="L60" s="36" t="s">
        <v>81</v>
      </c>
      <c r="M60" s="27"/>
      <c r="N60" s="17"/>
      <c r="O60" s="27"/>
      <c r="P60" s="27" t="s">
        <v>60</v>
      </c>
      <c r="Q60" s="27" t="s">
        <v>61</v>
      </c>
      <c r="R60" s="27" t="s">
        <v>83</v>
      </c>
      <c r="S60" s="27">
        <v>15</v>
      </c>
      <c r="T60" s="27">
        <v>3</v>
      </c>
      <c r="U60" s="27" t="s">
        <v>261</v>
      </c>
      <c r="V60" s="27" t="s">
        <v>151</v>
      </c>
      <c r="X60" s="27">
        <v>10000</v>
      </c>
      <c r="Y60" s="27">
        <v>5</v>
      </c>
      <c r="Z60" s="35">
        <f t="shared" si="1"/>
        <v>2000</v>
      </c>
      <c r="AA60" s="26" t="s">
        <v>397</v>
      </c>
      <c r="AB60" s="24">
        <v>9448403190</v>
      </c>
      <c r="AD60" s="26" t="s">
        <v>398</v>
      </c>
      <c r="AE60" s="27"/>
      <c r="AI60" s="27" t="s">
        <v>369</v>
      </c>
      <c r="AJ60" s="36" t="s">
        <v>234</v>
      </c>
      <c r="AK60" s="36" t="s">
        <v>399</v>
      </c>
      <c r="AL60" s="36" t="s">
        <v>400</v>
      </c>
    </row>
    <row r="61" spans="1:38" ht="12.75" x14ac:dyDescent="0.2">
      <c r="B61" s="1"/>
      <c r="E61" s="27"/>
      <c r="H61" s="1"/>
      <c r="L61" s="36"/>
      <c r="N61" s="17"/>
    </row>
    <row r="62" spans="1:38" ht="12.75" x14ac:dyDescent="0.2">
      <c r="B62" s="1"/>
      <c r="E62" s="27"/>
      <c r="H62" s="1"/>
      <c r="L62" s="36"/>
      <c r="N62" s="17"/>
    </row>
    <row r="63" spans="1:38" ht="12.75" x14ac:dyDescent="0.2">
      <c r="B63" s="1"/>
      <c r="H63" s="1"/>
      <c r="L63" s="36"/>
      <c r="N63" s="17"/>
    </row>
    <row r="64" spans="1:38" ht="12.75" x14ac:dyDescent="0.2">
      <c r="A64" s="48" t="s">
        <v>401</v>
      </c>
      <c r="B64" s="48" t="s">
        <v>402</v>
      </c>
      <c r="H64" s="1"/>
      <c r="L64" s="36"/>
      <c r="N64" s="17"/>
    </row>
    <row r="65" spans="1:38" ht="22.5" x14ac:dyDescent="0.2">
      <c r="A65" s="49" t="s">
        <v>38</v>
      </c>
      <c r="B65" s="49">
        <v>25</v>
      </c>
      <c r="H65" s="1"/>
      <c r="L65" s="36"/>
      <c r="N65" s="17"/>
    </row>
    <row r="66" spans="1:38" ht="72" x14ac:dyDescent="0.2">
      <c r="A66" s="49" t="s">
        <v>403</v>
      </c>
      <c r="B66" s="18" t="s">
        <v>145</v>
      </c>
      <c r="C66" s="2" t="s">
        <v>0</v>
      </c>
      <c r="D66" s="2" t="s">
        <v>1</v>
      </c>
      <c r="E66" s="2" t="s">
        <v>2</v>
      </c>
      <c r="F66" s="3"/>
      <c r="G66" s="3" t="s">
        <v>4</v>
      </c>
      <c r="H66" s="2" t="s">
        <v>5</v>
      </c>
      <c r="I66" s="2" t="s">
        <v>6</v>
      </c>
      <c r="J66" s="2" t="s">
        <v>7</v>
      </c>
      <c r="K66" s="2" t="s">
        <v>8</v>
      </c>
      <c r="L66" s="4" t="s">
        <v>9</v>
      </c>
      <c r="M66" s="2" t="s">
        <v>10</v>
      </c>
      <c r="N66" s="2" t="s">
        <v>11</v>
      </c>
      <c r="O66" s="2" t="s">
        <v>12</v>
      </c>
      <c r="P66" s="2" t="s">
        <v>13</v>
      </c>
      <c r="Q66" s="2" t="s">
        <v>14</v>
      </c>
      <c r="R66" s="2" t="s">
        <v>15</v>
      </c>
      <c r="S66" s="2" t="s">
        <v>16</v>
      </c>
      <c r="T66" s="2" t="s">
        <v>17</v>
      </c>
      <c r="U66" s="2" t="s">
        <v>18</v>
      </c>
      <c r="V66" s="2" t="s">
        <v>19</v>
      </c>
      <c r="W66" s="2" t="s">
        <v>20</v>
      </c>
      <c r="X66" s="2" t="s">
        <v>21</v>
      </c>
      <c r="Y66" s="2" t="s">
        <v>22</v>
      </c>
      <c r="Z66" s="5" t="s">
        <v>23</v>
      </c>
      <c r="AA66" s="2" t="s">
        <v>24</v>
      </c>
      <c r="AB66" s="2" t="s">
        <v>25</v>
      </c>
      <c r="AC66" s="2" t="s">
        <v>26</v>
      </c>
      <c r="AD66" s="2" t="s">
        <v>27</v>
      </c>
      <c r="AE66" s="2" t="s">
        <v>28</v>
      </c>
      <c r="AF66" s="2" t="s">
        <v>29</v>
      </c>
      <c r="AG66" s="6" t="s">
        <v>30</v>
      </c>
      <c r="AH66" s="2" t="s">
        <v>31</v>
      </c>
      <c r="AI66" s="2" t="s">
        <v>32</v>
      </c>
      <c r="AJ66" s="2" t="s">
        <v>33</v>
      </c>
      <c r="AK66" s="2" t="s">
        <v>34</v>
      </c>
      <c r="AL66" s="2" t="s">
        <v>35</v>
      </c>
    </row>
    <row r="67" spans="1:38" ht="12.75" x14ac:dyDescent="0.2">
      <c r="B67" s="1">
        <v>1</v>
      </c>
      <c r="C67" s="27" t="s">
        <v>404</v>
      </c>
      <c r="D67" s="27" t="s">
        <v>405</v>
      </c>
      <c r="E67" s="17" t="s">
        <v>43</v>
      </c>
      <c r="F67" s="27"/>
      <c r="G67" s="27" t="s">
        <v>406</v>
      </c>
      <c r="H67" s="1">
        <v>21</v>
      </c>
      <c r="I67" s="27" t="s">
        <v>407</v>
      </c>
      <c r="K67" s="27">
        <v>6290932599</v>
      </c>
      <c r="L67" s="36" t="s">
        <v>54</v>
      </c>
      <c r="M67" s="27"/>
      <c r="N67" s="17"/>
      <c r="O67" s="27" t="s">
        <v>46</v>
      </c>
      <c r="P67" s="27" t="s">
        <v>47</v>
      </c>
      <c r="Q67" s="27" t="s">
        <v>48</v>
      </c>
      <c r="R67" s="27" t="s">
        <v>49</v>
      </c>
      <c r="S67" s="27"/>
      <c r="U67" s="27" t="s">
        <v>150</v>
      </c>
      <c r="V67" s="27" t="s">
        <v>151</v>
      </c>
      <c r="X67" s="27">
        <v>12000</v>
      </c>
      <c r="Y67" s="27">
        <v>2</v>
      </c>
      <c r="Z67" s="27">
        <f t="shared" ref="Z67:Z92" si="2">X67/Y67</f>
        <v>6000</v>
      </c>
      <c r="AA67" s="27" t="s">
        <v>408</v>
      </c>
      <c r="AB67" s="27">
        <v>915010134392</v>
      </c>
      <c r="AC67" s="27" t="s">
        <v>352</v>
      </c>
      <c r="AD67" s="27" t="s">
        <v>409</v>
      </c>
      <c r="AE67" s="17" t="s">
        <v>151</v>
      </c>
      <c r="AI67" s="27" t="s">
        <v>167</v>
      </c>
      <c r="AJ67" s="27" t="s">
        <v>410</v>
      </c>
      <c r="AK67" s="27" t="s">
        <v>411</v>
      </c>
      <c r="AL67" s="27" t="s">
        <v>412</v>
      </c>
    </row>
    <row r="68" spans="1:38" ht="16.5" customHeight="1" x14ac:dyDescent="0.2">
      <c r="B68" s="1">
        <v>2</v>
      </c>
      <c r="C68" s="27" t="s">
        <v>413</v>
      </c>
      <c r="D68" s="27" t="s">
        <v>414</v>
      </c>
      <c r="E68" s="17" t="s">
        <v>78</v>
      </c>
      <c r="F68" s="27"/>
      <c r="G68" s="27" t="s">
        <v>415</v>
      </c>
      <c r="H68" s="1">
        <v>34</v>
      </c>
      <c r="I68" s="27" t="s">
        <v>416</v>
      </c>
      <c r="K68" s="27">
        <v>9804293629</v>
      </c>
      <c r="L68" s="36" t="s">
        <v>259</v>
      </c>
      <c r="M68" s="27" t="s">
        <v>417</v>
      </c>
      <c r="N68" s="20" t="s">
        <v>418</v>
      </c>
      <c r="O68" s="27" t="s">
        <v>46</v>
      </c>
      <c r="P68" s="27" t="s">
        <v>60</v>
      </c>
      <c r="Q68" s="27" t="s">
        <v>61</v>
      </c>
      <c r="R68" s="27" t="s">
        <v>260</v>
      </c>
      <c r="S68" s="27">
        <v>22</v>
      </c>
      <c r="T68" s="27">
        <v>1</v>
      </c>
      <c r="U68" s="27" t="s">
        <v>190</v>
      </c>
      <c r="V68" s="27" t="s">
        <v>151</v>
      </c>
      <c r="X68" s="27">
        <v>8000</v>
      </c>
      <c r="Y68" s="27">
        <v>4</v>
      </c>
      <c r="Z68" s="27">
        <f t="shared" si="2"/>
        <v>2000</v>
      </c>
      <c r="AA68" s="27" t="s">
        <v>408</v>
      </c>
      <c r="AB68" s="27">
        <v>1518010210249</v>
      </c>
      <c r="AC68" s="27" t="s">
        <v>419</v>
      </c>
      <c r="AD68" s="27" t="s">
        <v>420</v>
      </c>
      <c r="AE68" s="17" t="s">
        <v>151</v>
      </c>
      <c r="AF68" s="27" t="s">
        <v>421</v>
      </c>
      <c r="AH68" s="27">
        <v>4000</v>
      </c>
      <c r="AI68" s="27" t="s">
        <v>422</v>
      </c>
      <c r="AJ68" s="27" t="s">
        <v>423</v>
      </c>
      <c r="AK68" s="27" t="s">
        <v>411</v>
      </c>
      <c r="AL68" s="27" t="s">
        <v>424</v>
      </c>
    </row>
    <row r="69" spans="1:38" ht="12.75" x14ac:dyDescent="0.2">
      <c r="B69" s="1">
        <v>3</v>
      </c>
      <c r="C69" s="27" t="s">
        <v>425</v>
      </c>
      <c r="D69" s="27" t="s">
        <v>426</v>
      </c>
      <c r="E69" s="17" t="s">
        <v>43</v>
      </c>
      <c r="F69" s="27"/>
      <c r="G69" s="27" t="s">
        <v>427</v>
      </c>
      <c r="H69" s="1">
        <v>21</v>
      </c>
      <c r="I69" s="27" t="s">
        <v>428</v>
      </c>
      <c r="K69" s="27">
        <v>8017360870</v>
      </c>
      <c r="L69" s="36" t="s">
        <v>46</v>
      </c>
      <c r="M69" s="27" t="s">
        <v>429</v>
      </c>
      <c r="N69" s="17"/>
      <c r="O69" s="27" t="s">
        <v>430</v>
      </c>
      <c r="P69" s="27" t="s">
        <v>47</v>
      </c>
      <c r="Q69" s="27" t="s">
        <v>48</v>
      </c>
      <c r="R69" s="27" t="s">
        <v>49</v>
      </c>
      <c r="S69" s="27">
        <v>21</v>
      </c>
      <c r="U69" s="27" t="s">
        <v>261</v>
      </c>
      <c r="V69" s="27" t="s">
        <v>151</v>
      </c>
      <c r="X69" s="27">
        <v>12000</v>
      </c>
      <c r="Y69" s="27">
        <v>3</v>
      </c>
      <c r="Z69" s="27">
        <f t="shared" si="2"/>
        <v>4000</v>
      </c>
      <c r="AA69" s="27" t="s">
        <v>408</v>
      </c>
      <c r="AB69" s="27">
        <v>517200100007144</v>
      </c>
      <c r="AC69" s="27" t="s">
        <v>431</v>
      </c>
      <c r="AD69" s="27" t="s">
        <v>432</v>
      </c>
      <c r="AE69" s="17" t="s">
        <v>151</v>
      </c>
      <c r="AI69" s="27" t="s">
        <v>167</v>
      </c>
      <c r="AJ69" s="27" t="s">
        <v>433</v>
      </c>
      <c r="AK69" s="27" t="s">
        <v>434</v>
      </c>
      <c r="AL69" s="27" t="s">
        <v>412</v>
      </c>
    </row>
    <row r="70" spans="1:38" ht="12.75" x14ac:dyDescent="0.2">
      <c r="B70" s="1">
        <v>4</v>
      </c>
      <c r="C70" s="27" t="s">
        <v>435</v>
      </c>
      <c r="D70" s="27" t="s">
        <v>436</v>
      </c>
      <c r="E70" s="17" t="s">
        <v>43</v>
      </c>
      <c r="F70" s="27"/>
      <c r="G70" s="27" t="s">
        <v>437</v>
      </c>
      <c r="H70" s="1">
        <v>38</v>
      </c>
      <c r="I70" s="27" t="s">
        <v>438</v>
      </c>
      <c r="K70" s="27">
        <v>9330770632</v>
      </c>
      <c r="L70" s="36" t="s">
        <v>81</v>
      </c>
      <c r="M70" s="27" t="s">
        <v>142</v>
      </c>
      <c r="N70" s="17"/>
      <c r="O70" s="27" t="s">
        <v>46</v>
      </c>
      <c r="P70" s="27" t="s">
        <v>47</v>
      </c>
      <c r="Q70" s="27" t="s">
        <v>61</v>
      </c>
      <c r="R70" s="27" t="s">
        <v>83</v>
      </c>
      <c r="S70" s="27">
        <v>19</v>
      </c>
      <c r="T70" s="27">
        <v>2</v>
      </c>
      <c r="U70" s="27" t="s">
        <v>150</v>
      </c>
      <c r="V70" s="27" t="s">
        <v>151</v>
      </c>
      <c r="X70" s="27">
        <v>17000</v>
      </c>
      <c r="Y70" s="27">
        <v>6</v>
      </c>
      <c r="Z70" s="27">
        <f t="shared" si="2"/>
        <v>2833.3333333333335</v>
      </c>
      <c r="AA70" s="27" t="s">
        <v>439</v>
      </c>
      <c r="AB70" s="27">
        <v>20062553170</v>
      </c>
      <c r="AE70" s="17" t="s">
        <v>151</v>
      </c>
      <c r="AF70" s="27" t="s">
        <v>440</v>
      </c>
      <c r="AH70" s="27">
        <v>8000</v>
      </c>
      <c r="AI70" s="27" t="s">
        <v>441</v>
      </c>
      <c r="AJ70" s="27" t="s">
        <v>410</v>
      </c>
      <c r="AK70" s="27" t="s">
        <v>434</v>
      </c>
      <c r="AL70" s="27" t="s">
        <v>412</v>
      </c>
    </row>
    <row r="71" spans="1:38" ht="12.75" x14ac:dyDescent="0.2">
      <c r="B71" s="1">
        <v>5</v>
      </c>
      <c r="C71" s="27" t="s">
        <v>442</v>
      </c>
      <c r="D71" s="27" t="s">
        <v>443</v>
      </c>
      <c r="E71" s="27" t="s">
        <v>43</v>
      </c>
      <c r="F71" s="27"/>
      <c r="G71" s="27" t="s">
        <v>444</v>
      </c>
      <c r="H71" s="1">
        <v>19</v>
      </c>
      <c r="I71" s="27" t="s">
        <v>445</v>
      </c>
      <c r="K71" s="27">
        <v>8100305955</v>
      </c>
      <c r="L71" s="36" t="s">
        <v>54</v>
      </c>
      <c r="M71" s="27"/>
      <c r="N71" s="17"/>
      <c r="O71" s="27" t="s">
        <v>46</v>
      </c>
      <c r="P71" s="27" t="s">
        <v>47</v>
      </c>
      <c r="Q71" s="27" t="s">
        <v>48</v>
      </c>
      <c r="R71" s="27" t="s">
        <v>49</v>
      </c>
      <c r="S71" s="27">
        <v>0</v>
      </c>
      <c r="T71" s="27">
        <v>0</v>
      </c>
      <c r="U71" s="27" t="s">
        <v>150</v>
      </c>
      <c r="V71" s="27" t="s">
        <v>151</v>
      </c>
      <c r="X71" s="27">
        <v>14000</v>
      </c>
      <c r="Y71" s="27">
        <v>4</v>
      </c>
      <c r="Z71" s="27">
        <f t="shared" si="2"/>
        <v>3500</v>
      </c>
      <c r="AA71" s="27" t="s">
        <v>408</v>
      </c>
      <c r="AB71" s="27">
        <v>92011534294</v>
      </c>
      <c r="AC71" s="27" t="s">
        <v>446</v>
      </c>
      <c r="AD71" s="27" t="s">
        <v>447</v>
      </c>
      <c r="AE71" s="27" t="s">
        <v>151</v>
      </c>
      <c r="AI71" s="27" t="s">
        <v>207</v>
      </c>
      <c r="AJ71" s="27" t="s">
        <v>448</v>
      </c>
      <c r="AK71" s="27" t="s">
        <v>411</v>
      </c>
      <c r="AL71" s="27" t="s">
        <v>412</v>
      </c>
    </row>
    <row r="72" spans="1:38" ht="12.75" x14ac:dyDescent="0.2">
      <c r="B72" s="1">
        <v>6</v>
      </c>
      <c r="C72" s="27" t="s">
        <v>449</v>
      </c>
      <c r="D72" s="27" t="s">
        <v>450</v>
      </c>
      <c r="E72" s="27" t="s">
        <v>43</v>
      </c>
      <c r="F72" s="27"/>
      <c r="G72" s="27" t="s">
        <v>451</v>
      </c>
      <c r="H72" s="1">
        <v>24</v>
      </c>
      <c r="I72" s="27" t="s">
        <v>452</v>
      </c>
      <c r="K72" s="27">
        <v>6291481246</v>
      </c>
      <c r="L72" s="36" t="s">
        <v>81</v>
      </c>
      <c r="M72" s="27" t="s">
        <v>142</v>
      </c>
      <c r="N72" s="17"/>
      <c r="O72" s="27" t="s">
        <v>46</v>
      </c>
      <c r="P72" s="27" t="s">
        <v>60</v>
      </c>
      <c r="Q72" s="27" t="s">
        <v>61</v>
      </c>
      <c r="R72" s="27" t="s">
        <v>49</v>
      </c>
      <c r="S72" s="27">
        <v>0</v>
      </c>
      <c r="T72" s="27">
        <v>0</v>
      </c>
      <c r="U72" s="27" t="s">
        <v>150</v>
      </c>
      <c r="V72" s="27" t="s">
        <v>151</v>
      </c>
      <c r="X72" s="27">
        <v>19000</v>
      </c>
      <c r="Y72" s="27">
        <v>4</v>
      </c>
      <c r="Z72" s="27">
        <f t="shared" si="2"/>
        <v>4750</v>
      </c>
      <c r="AA72" s="27" t="s">
        <v>453</v>
      </c>
      <c r="AB72" s="27">
        <v>7511782930</v>
      </c>
      <c r="AC72" s="27" t="s">
        <v>454</v>
      </c>
      <c r="AD72" s="27" t="s">
        <v>455</v>
      </c>
      <c r="AE72" s="27" t="s">
        <v>151</v>
      </c>
      <c r="AF72" s="27" t="s">
        <v>456</v>
      </c>
      <c r="AH72" s="27">
        <v>15000</v>
      </c>
      <c r="AI72" s="27" t="s">
        <v>457</v>
      </c>
      <c r="AJ72" s="27" t="s">
        <v>410</v>
      </c>
      <c r="AK72" s="27" t="s">
        <v>434</v>
      </c>
      <c r="AL72" s="27" t="s">
        <v>458</v>
      </c>
    </row>
    <row r="73" spans="1:38" ht="12.75" x14ac:dyDescent="0.2">
      <c r="B73" s="1">
        <v>7</v>
      </c>
      <c r="C73" s="27" t="s">
        <v>459</v>
      </c>
      <c r="D73" s="27" t="s">
        <v>460</v>
      </c>
      <c r="E73" s="27" t="s">
        <v>43</v>
      </c>
      <c r="F73" s="27"/>
      <c r="G73" s="27" t="s">
        <v>461</v>
      </c>
      <c r="H73" s="1">
        <v>40</v>
      </c>
      <c r="I73" s="27" t="s">
        <v>462</v>
      </c>
      <c r="K73" s="27">
        <v>8017739815</v>
      </c>
      <c r="L73" s="36" t="s">
        <v>81</v>
      </c>
      <c r="M73" s="27" t="s">
        <v>142</v>
      </c>
      <c r="N73" s="17"/>
      <c r="O73" s="27" t="s">
        <v>46</v>
      </c>
      <c r="P73" s="27" t="s">
        <v>47</v>
      </c>
      <c r="Q73" s="27" t="s">
        <v>61</v>
      </c>
      <c r="R73" s="27" t="s">
        <v>83</v>
      </c>
      <c r="S73" s="27">
        <v>19</v>
      </c>
      <c r="T73" s="27">
        <v>1</v>
      </c>
      <c r="U73" s="27" t="s">
        <v>190</v>
      </c>
      <c r="V73" s="27" t="s">
        <v>151</v>
      </c>
      <c r="X73" s="27">
        <v>10000</v>
      </c>
      <c r="Y73" s="27">
        <v>3</v>
      </c>
      <c r="Z73" s="27">
        <f t="shared" si="2"/>
        <v>3333.3333333333335</v>
      </c>
      <c r="AA73" s="27" t="s">
        <v>463</v>
      </c>
      <c r="AB73" s="27">
        <v>50099170373</v>
      </c>
      <c r="AC73" s="27" t="s">
        <v>464</v>
      </c>
      <c r="AD73" s="27" t="s">
        <v>465</v>
      </c>
      <c r="AE73" s="27" t="s">
        <v>151</v>
      </c>
      <c r="AF73" s="27" t="s">
        <v>466</v>
      </c>
      <c r="AH73" s="27">
        <v>4000</v>
      </c>
      <c r="AI73" s="27" t="s">
        <v>194</v>
      </c>
      <c r="AJ73" s="27" t="s">
        <v>467</v>
      </c>
      <c r="AK73" s="27" t="s">
        <v>434</v>
      </c>
      <c r="AL73" s="27" t="s">
        <v>468</v>
      </c>
    </row>
    <row r="74" spans="1:38" ht="12.75" x14ac:dyDescent="0.2">
      <c r="B74" s="1">
        <v>8</v>
      </c>
      <c r="C74" s="27" t="s">
        <v>469</v>
      </c>
      <c r="D74" s="27" t="s">
        <v>470</v>
      </c>
      <c r="E74" s="27" t="s">
        <v>43</v>
      </c>
      <c r="F74" s="27"/>
      <c r="G74" s="27" t="s">
        <v>471</v>
      </c>
      <c r="H74" s="1">
        <v>42</v>
      </c>
      <c r="I74" s="27" t="s">
        <v>472</v>
      </c>
      <c r="K74" s="27">
        <v>6290675579</v>
      </c>
      <c r="L74" s="36" t="s">
        <v>81</v>
      </c>
      <c r="M74" s="27" t="s">
        <v>82</v>
      </c>
      <c r="N74" s="17"/>
      <c r="O74" s="27" t="s">
        <v>46</v>
      </c>
      <c r="P74" s="27" t="s">
        <v>47</v>
      </c>
      <c r="Q74" s="27" t="s">
        <v>61</v>
      </c>
      <c r="R74" s="27" t="s">
        <v>83</v>
      </c>
      <c r="S74" s="27">
        <v>18</v>
      </c>
      <c r="T74" s="27">
        <v>2</v>
      </c>
      <c r="U74" s="27" t="s">
        <v>190</v>
      </c>
      <c r="V74" s="27" t="s">
        <v>151</v>
      </c>
      <c r="X74" s="27">
        <v>18000</v>
      </c>
      <c r="Y74" s="27">
        <v>4</v>
      </c>
      <c r="Z74" s="27">
        <f t="shared" si="2"/>
        <v>4500</v>
      </c>
      <c r="AA74" s="27" t="s">
        <v>473</v>
      </c>
      <c r="AB74" s="27">
        <v>404618210000070</v>
      </c>
      <c r="AC74" s="27" t="s">
        <v>474</v>
      </c>
      <c r="AD74" s="27" t="s">
        <v>475</v>
      </c>
      <c r="AE74" s="27" t="s">
        <v>251</v>
      </c>
      <c r="AF74" s="27" t="s">
        <v>476</v>
      </c>
      <c r="AH74" s="27">
        <v>1500</v>
      </c>
      <c r="AI74" s="27" t="s">
        <v>316</v>
      </c>
      <c r="AJ74" s="27" t="s">
        <v>477</v>
      </c>
      <c r="AK74" s="27" t="s">
        <v>434</v>
      </c>
      <c r="AL74" s="27" t="s">
        <v>468</v>
      </c>
    </row>
    <row r="75" spans="1:38" ht="12.75" x14ac:dyDescent="0.2">
      <c r="B75" s="1">
        <v>9</v>
      </c>
      <c r="C75" s="27" t="s">
        <v>478</v>
      </c>
      <c r="D75" s="27" t="s">
        <v>479</v>
      </c>
      <c r="E75" s="27" t="s">
        <v>43</v>
      </c>
      <c r="F75" s="27"/>
      <c r="G75" s="27" t="s">
        <v>480</v>
      </c>
      <c r="H75" s="1">
        <v>34</v>
      </c>
      <c r="I75" s="27" t="s">
        <v>481</v>
      </c>
      <c r="K75" s="27">
        <v>9674046515</v>
      </c>
      <c r="L75" s="36" t="s">
        <v>54</v>
      </c>
      <c r="M75" s="27"/>
      <c r="N75" s="17"/>
      <c r="O75" s="27" t="s">
        <v>46</v>
      </c>
      <c r="P75" s="27" t="s">
        <v>60</v>
      </c>
      <c r="Q75" s="27" t="s">
        <v>61</v>
      </c>
      <c r="R75" s="27" t="s">
        <v>83</v>
      </c>
      <c r="S75" s="27">
        <v>17</v>
      </c>
      <c r="T75" s="27">
        <v>1</v>
      </c>
      <c r="U75" s="27" t="s">
        <v>261</v>
      </c>
      <c r="V75" s="27" t="s">
        <v>151</v>
      </c>
      <c r="X75" s="27">
        <v>10000</v>
      </c>
      <c r="Y75" s="27">
        <v>4</v>
      </c>
      <c r="Z75" s="27">
        <f t="shared" si="2"/>
        <v>2500</v>
      </c>
      <c r="AA75" s="27" t="s">
        <v>482</v>
      </c>
      <c r="AE75" s="27" t="s">
        <v>151</v>
      </c>
      <c r="AI75" s="27" t="s">
        <v>483</v>
      </c>
      <c r="AJ75" s="27" t="s">
        <v>448</v>
      </c>
      <c r="AK75" s="27" t="s">
        <v>434</v>
      </c>
      <c r="AL75" s="27" t="s">
        <v>468</v>
      </c>
    </row>
    <row r="76" spans="1:38" ht="12.75" x14ac:dyDescent="0.2">
      <c r="B76" s="1">
        <v>10</v>
      </c>
      <c r="C76" s="27" t="s">
        <v>484</v>
      </c>
      <c r="D76" s="27" t="s">
        <v>485</v>
      </c>
      <c r="E76" s="27" t="s">
        <v>43</v>
      </c>
      <c r="F76" s="27"/>
      <c r="G76" s="27" t="s">
        <v>486</v>
      </c>
      <c r="H76" s="1">
        <v>38</v>
      </c>
      <c r="I76" s="27" t="s">
        <v>487</v>
      </c>
      <c r="K76" s="27">
        <v>9433052160</v>
      </c>
      <c r="L76" s="36" t="s">
        <v>81</v>
      </c>
      <c r="M76" s="27" t="s">
        <v>429</v>
      </c>
      <c r="N76" s="17"/>
      <c r="O76" s="27" t="s">
        <v>46</v>
      </c>
      <c r="P76" s="27" t="s">
        <v>47</v>
      </c>
      <c r="Q76" s="27" t="s">
        <v>61</v>
      </c>
      <c r="R76" s="27" t="s">
        <v>83</v>
      </c>
      <c r="S76" s="27">
        <v>19</v>
      </c>
      <c r="T76" s="27">
        <v>1</v>
      </c>
      <c r="U76" s="27" t="s">
        <v>261</v>
      </c>
      <c r="V76" s="27" t="s">
        <v>151</v>
      </c>
      <c r="X76" s="27">
        <v>6000</v>
      </c>
      <c r="Y76" s="27">
        <v>2</v>
      </c>
      <c r="Z76" s="27">
        <f t="shared" si="2"/>
        <v>3000</v>
      </c>
      <c r="AE76" s="27" t="s">
        <v>151</v>
      </c>
      <c r="AI76" s="27" t="s">
        <v>488</v>
      </c>
      <c r="AJ76" s="27" t="s">
        <v>410</v>
      </c>
      <c r="AK76" s="27" t="s">
        <v>434</v>
      </c>
      <c r="AL76" s="27" t="s">
        <v>412</v>
      </c>
    </row>
    <row r="77" spans="1:38" ht="12.75" x14ac:dyDescent="0.2">
      <c r="B77" s="1">
        <v>11</v>
      </c>
      <c r="C77" s="27" t="s">
        <v>489</v>
      </c>
      <c r="D77" s="27" t="s">
        <v>490</v>
      </c>
      <c r="E77" s="27" t="s">
        <v>43</v>
      </c>
      <c r="F77" s="27"/>
      <c r="G77" s="27" t="s">
        <v>491</v>
      </c>
      <c r="H77" s="1">
        <v>25</v>
      </c>
      <c r="I77" s="27" t="s">
        <v>492</v>
      </c>
      <c r="K77" s="27">
        <v>9088392490</v>
      </c>
      <c r="L77" s="36" t="s">
        <v>54</v>
      </c>
      <c r="M77" s="27"/>
      <c r="N77" s="17"/>
      <c r="O77" s="27" t="s">
        <v>46</v>
      </c>
      <c r="P77" s="27" t="s">
        <v>175</v>
      </c>
      <c r="Q77" s="27" t="s">
        <v>48</v>
      </c>
      <c r="R77" s="27" t="s">
        <v>49</v>
      </c>
      <c r="U77" s="27" t="s">
        <v>190</v>
      </c>
      <c r="V77" s="27" t="s">
        <v>151</v>
      </c>
      <c r="X77" s="27">
        <v>15000</v>
      </c>
      <c r="Y77" s="27">
        <v>4</v>
      </c>
      <c r="Z77" s="27">
        <f t="shared" si="2"/>
        <v>3750</v>
      </c>
      <c r="AE77" s="27" t="s">
        <v>151</v>
      </c>
      <c r="AI77" s="27" t="s">
        <v>457</v>
      </c>
      <c r="AJ77" s="27" t="s">
        <v>493</v>
      </c>
      <c r="AK77" s="27" t="s">
        <v>434</v>
      </c>
      <c r="AL77" s="27" t="s">
        <v>458</v>
      </c>
    </row>
    <row r="78" spans="1:38" ht="12.75" x14ac:dyDescent="0.2">
      <c r="B78" s="1">
        <v>12</v>
      </c>
      <c r="C78" s="27" t="s">
        <v>494</v>
      </c>
      <c r="D78" s="27" t="s">
        <v>495</v>
      </c>
      <c r="E78" s="27" t="s">
        <v>43</v>
      </c>
      <c r="F78" s="27"/>
      <c r="G78" s="27" t="s">
        <v>496</v>
      </c>
      <c r="H78" s="1">
        <v>20</v>
      </c>
      <c r="I78" s="27" t="s">
        <v>497</v>
      </c>
      <c r="K78" s="27">
        <v>7439695815</v>
      </c>
      <c r="L78" s="36" t="s">
        <v>54</v>
      </c>
      <c r="M78" s="27"/>
      <c r="N78" s="17"/>
      <c r="O78" s="27" t="s">
        <v>46</v>
      </c>
      <c r="P78" s="27" t="s">
        <v>47</v>
      </c>
      <c r="Q78" s="27" t="s">
        <v>61</v>
      </c>
      <c r="R78" s="27" t="s">
        <v>49</v>
      </c>
      <c r="U78" s="27" t="s">
        <v>203</v>
      </c>
      <c r="V78" s="27" t="s">
        <v>151</v>
      </c>
      <c r="X78" s="27">
        <v>8000</v>
      </c>
      <c r="Y78" s="27">
        <v>3</v>
      </c>
      <c r="Z78" s="27">
        <f t="shared" si="2"/>
        <v>2666.6666666666665</v>
      </c>
      <c r="AE78" s="27" t="s">
        <v>151</v>
      </c>
      <c r="AI78" s="27" t="s">
        <v>167</v>
      </c>
      <c r="AJ78" s="27" t="s">
        <v>477</v>
      </c>
      <c r="AK78" s="27" t="s">
        <v>434</v>
      </c>
      <c r="AL78" s="27" t="s">
        <v>244</v>
      </c>
    </row>
    <row r="79" spans="1:38" ht="12.75" x14ac:dyDescent="0.2">
      <c r="B79" s="1">
        <v>13</v>
      </c>
      <c r="C79" s="27" t="s">
        <v>498</v>
      </c>
      <c r="D79" s="27" t="s">
        <v>499</v>
      </c>
      <c r="E79" s="27" t="s">
        <v>43</v>
      </c>
      <c r="F79" s="27"/>
      <c r="G79" s="27" t="s">
        <v>500</v>
      </c>
      <c r="H79" s="1">
        <v>20</v>
      </c>
      <c r="I79" s="27" t="s">
        <v>501</v>
      </c>
      <c r="K79" s="27">
        <v>9123675278</v>
      </c>
      <c r="L79" s="36" t="s">
        <v>259</v>
      </c>
      <c r="M79" s="27"/>
      <c r="N79" s="17"/>
      <c r="O79" s="27" t="s">
        <v>46</v>
      </c>
      <c r="P79" s="27" t="s">
        <v>47</v>
      </c>
      <c r="Q79" s="27" t="s">
        <v>48</v>
      </c>
      <c r="R79" s="27" t="s">
        <v>49</v>
      </c>
      <c r="U79" s="27" t="s">
        <v>190</v>
      </c>
      <c r="V79" s="27" t="s">
        <v>151</v>
      </c>
      <c r="X79" s="27">
        <v>5000</v>
      </c>
      <c r="Y79" s="27">
        <v>5</v>
      </c>
      <c r="Z79" s="27">
        <f t="shared" si="2"/>
        <v>1000</v>
      </c>
      <c r="AE79" s="27" t="s">
        <v>151</v>
      </c>
      <c r="AI79" s="27" t="s">
        <v>207</v>
      </c>
      <c r="AJ79" s="27" t="s">
        <v>410</v>
      </c>
      <c r="AK79" s="27" t="s">
        <v>434</v>
      </c>
      <c r="AL79" s="27" t="s">
        <v>502</v>
      </c>
    </row>
    <row r="80" spans="1:38" ht="12.75" x14ac:dyDescent="0.2">
      <c r="B80" s="1">
        <v>14</v>
      </c>
      <c r="C80" s="27" t="s">
        <v>503</v>
      </c>
      <c r="D80" s="27" t="s">
        <v>504</v>
      </c>
      <c r="E80" s="27" t="s">
        <v>43</v>
      </c>
      <c r="F80" s="27"/>
      <c r="G80" s="27" t="s">
        <v>505</v>
      </c>
      <c r="H80" s="1">
        <v>20</v>
      </c>
      <c r="I80" s="27" t="s">
        <v>506</v>
      </c>
      <c r="K80" s="27">
        <v>8100161842</v>
      </c>
      <c r="L80" s="36" t="s">
        <v>81</v>
      </c>
      <c r="M80" s="27" t="s">
        <v>82</v>
      </c>
      <c r="N80" s="17"/>
      <c r="O80" s="27" t="s">
        <v>46</v>
      </c>
      <c r="P80" s="27" t="s">
        <v>47</v>
      </c>
      <c r="Q80" s="27" t="s">
        <v>48</v>
      </c>
      <c r="R80" s="27" t="s">
        <v>49</v>
      </c>
      <c r="U80" s="27" t="s">
        <v>150</v>
      </c>
      <c r="V80" s="27" t="s">
        <v>151</v>
      </c>
      <c r="X80" s="27">
        <v>28000</v>
      </c>
      <c r="Y80" s="27">
        <v>5</v>
      </c>
      <c r="Z80" s="27">
        <f t="shared" si="2"/>
        <v>5600</v>
      </c>
      <c r="AA80" s="27" t="s">
        <v>408</v>
      </c>
      <c r="AE80" s="27" t="s">
        <v>251</v>
      </c>
      <c r="AF80" s="27" t="s">
        <v>507</v>
      </c>
      <c r="AH80" s="27">
        <v>1000</v>
      </c>
      <c r="AI80" s="27" t="s">
        <v>167</v>
      </c>
      <c r="AJ80" s="27" t="s">
        <v>477</v>
      </c>
      <c r="AK80" s="27" t="s">
        <v>411</v>
      </c>
      <c r="AL80" s="27" t="s">
        <v>412</v>
      </c>
    </row>
    <row r="81" spans="2:38" ht="12.75" x14ac:dyDescent="0.2">
      <c r="B81" s="1">
        <v>15</v>
      </c>
      <c r="C81" s="27" t="s">
        <v>508</v>
      </c>
      <c r="D81" s="27" t="s">
        <v>509</v>
      </c>
      <c r="E81" s="27" t="s">
        <v>43</v>
      </c>
      <c r="F81" s="27"/>
      <c r="G81" s="27" t="s">
        <v>510</v>
      </c>
      <c r="H81" s="1">
        <v>21</v>
      </c>
      <c r="I81" s="27" t="s">
        <v>511</v>
      </c>
      <c r="K81" s="27">
        <v>8100295807</v>
      </c>
      <c r="L81" s="36" t="s">
        <v>81</v>
      </c>
      <c r="M81" s="27" t="s">
        <v>142</v>
      </c>
      <c r="N81" s="17"/>
      <c r="O81" s="27" t="s">
        <v>46</v>
      </c>
      <c r="P81" s="27" t="s">
        <v>47</v>
      </c>
      <c r="Q81" s="27" t="s">
        <v>48</v>
      </c>
      <c r="R81" s="27" t="s">
        <v>49</v>
      </c>
      <c r="U81" s="27" t="s">
        <v>190</v>
      </c>
      <c r="V81" s="27" t="s">
        <v>151</v>
      </c>
      <c r="X81" s="27">
        <v>15000</v>
      </c>
      <c r="Y81" s="27">
        <v>7</v>
      </c>
      <c r="Z81" s="27">
        <f t="shared" si="2"/>
        <v>2142.8571428571427</v>
      </c>
      <c r="AE81" s="27" t="s">
        <v>251</v>
      </c>
      <c r="AF81" s="27" t="s">
        <v>507</v>
      </c>
      <c r="AH81" s="27">
        <v>1000</v>
      </c>
      <c r="AI81" s="27" t="s">
        <v>225</v>
      </c>
      <c r="AJ81" s="27" t="s">
        <v>512</v>
      </c>
      <c r="AK81" s="27" t="s">
        <v>434</v>
      </c>
      <c r="AL81" s="27" t="s">
        <v>412</v>
      </c>
    </row>
    <row r="82" spans="2:38" ht="12.75" x14ac:dyDescent="0.2">
      <c r="B82" s="1">
        <v>16</v>
      </c>
      <c r="C82" s="27" t="s">
        <v>513</v>
      </c>
      <c r="D82" s="27" t="s">
        <v>514</v>
      </c>
      <c r="E82" s="27" t="s">
        <v>43</v>
      </c>
      <c r="F82" s="27"/>
      <c r="G82" s="50" t="s">
        <v>515</v>
      </c>
      <c r="H82" s="1">
        <v>28</v>
      </c>
      <c r="I82" s="27" t="s">
        <v>516</v>
      </c>
      <c r="K82" s="27">
        <v>6289385713</v>
      </c>
      <c r="L82" s="36" t="s">
        <v>259</v>
      </c>
      <c r="M82" s="27"/>
      <c r="O82" s="27" t="s">
        <v>46</v>
      </c>
      <c r="P82" s="27" t="s">
        <v>47</v>
      </c>
      <c r="Q82" s="27" t="s">
        <v>48</v>
      </c>
      <c r="R82" s="27" t="s">
        <v>49</v>
      </c>
      <c r="U82" s="27" t="s">
        <v>150</v>
      </c>
      <c r="V82" s="27" t="s">
        <v>151</v>
      </c>
      <c r="X82" s="27">
        <v>24000</v>
      </c>
      <c r="Y82" s="27">
        <v>8</v>
      </c>
      <c r="Z82" s="27">
        <f t="shared" si="2"/>
        <v>3000</v>
      </c>
      <c r="AE82" s="27" t="s">
        <v>151</v>
      </c>
      <c r="AI82" s="27" t="s">
        <v>207</v>
      </c>
      <c r="AJ82" s="27" t="s">
        <v>517</v>
      </c>
      <c r="AK82" s="27" t="s">
        <v>434</v>
      </c>
      <c r="AL82" s="27" t="s">
        <v>412</v>
      </c>
    </row>
    <row r="83" spans="2:38" ht="12.75" x14ac:dyDescent="0.2">
      <c r="B83" s="1">
        <v>17</v>
      </c>
      <c r="C83" s="27" t="s">
        <v>518</v>
      </c>
      <c r="D83" s="27" t="s">
        <v>519</v>
      </c>
      <c r="E83" s="27" t="s">
        <v>43</v>
      </c>
      <c r="F83" s="27"/>
      <c r="G83" s="27" t="s">
        <v>520</v>
      </c>
      <c r="H83" s="1">
        <v>29</v>
      </c>
      <c r="I83" s="27" t="s">
        <v>521</v>
      </c>
      <c r="K83" s="27">
        <v>9874642634</v>
      </c>
      <c r="L83" s="36" t="s">
        <v>81</v>
      </c>
      <c r="M83" s="27" t="s">
        <v>82</v>
      </c>
      <c r="O83" s="27" t="s">
        <v>46</v>
      </c>
      <c r="P83" s="27" t="s">
        <v>175</v>
      </c>
      <c r="Q83" s="27" t="s">
        <v>48</v>
      </c>
      <c r="R83" s="27" t="s">
        <v>83</v>
      </c>
      <c r="S83" s="27">
        <v>19</v>
      </c>
      <c r="T83" s="27">
        <v>2</v>
      </c>
      <c r="U83" s="27" t="s">
        <v>203</v>
      </c>
      <c r="V83" s="27" t="s">
        <v>151</v>
      </c>
      <c r="X83" s="27">
        <v>18000</v>
      </c>
      <c r="Y83" s="27">
        <v>4</v>
      </c>
      <c r="Z83" s="27">
        <f t="shared" si="2"/>
        <v>4500</v>
      </c>
      <c r="AE83" s="27" t="s">
        <v>151</v>
      </c>
      <c r="AI83" s="27" t="s">
        <v>194</v>
      </c>
      <c r="AJ83" s="27" t="s">
        <v>410</v>
      </c>
      <c r="AK83" s="27" t="s">
        <v>434</v>
      </c>
      <c r="AL83" s="27" t="s">
        <v>412</v>
      </c>
    </row>
    <row r="84" spans="2:38" ht="12.75" x14ac:dyDescent="0.2">
      <c r="B84" s="1">
        <v>18</v>
      </c>
      <c r="C84" s="27" t="s">
        <v>522</v>
      </c>
      <c r="D84" s="27" t="s">
        <v>523</v>
      </c>
      <c r="E84" s="27" t="s">
        <v>43</v>
      </c>
      <c r="F84" s="27"/>
      <c r="G84" s="27" t="s">
        <v>524</v>
      </c>
      <c r="H84" s="1">
        <v>19</v>
      </c>
      <c r="I84" s="27" t="s">
        <v>525</v>
      </c>
      <c r="K84" s="27">
        <v>7439823866</v>
      </c>
      <c r="L84" s="36" t="s">
        <v>81</v>
      </c>
      <c r="M84" s="27" t="s">
        <v>429</v>
      </c>
      <c r="O84" s="27" t="s">
        <v>46</v>
      </c>
      <c r="P84" s="27" t="s">
        <v>47</v>
      </c>
      <c r="Q84" s="27" t="s">
        <v>48</v>
      </c>
      <c r="R84" s="27" t="s">
        <v>49</v>
      </c>
      <c r="U84" s="27" t="s">
        <v>150</v>
      </c>
      <c r="V84" s="27" t="s">
        <v>151</v>
      </c>
      <c r="X84" s="27">
        <v>6000</v>
      </c>
      <c r="Y84" s="27">
        <v>3</v>
      </c>
      <c r="Z84" s="27">
        <f t="shared" si="2"/>
        <v>2000</v>
      </c>
      <c r="AE84" s="27" t="s">
        <v>151</v>
      </c>
      <c r="AI84" s="27" t="s">
        <v>167</v>
      </c>
      <c r="AJ84" s="27" t="s">
        <v>410</v>
      </c>
      <c r="AK84" s="27" t="s">
        <v>434</v>
      </c>
      <c r="AL84" s="27" t="s">
        <v>526</v>
      </c>
    </row>
    <row r="85" spans="2:38" ht="12.75" x14ac:dyDescent="0.2">
      <c r="B85" s="1">
        <v>19</v>
      </c>
      <c r="C85" s="27" t="s">
        <v>527</v>
      </c>
      <c r="D85" s="27" t="s">
        <v>528</v>
      </c>
      <c r="E85" s="27" t="s">
        <v>43</v>
      </c>
      <c r="F85" s="27"/>
      <c r="G85" s="27" t="s">
        <v>529</v>
      </c>
      <c r="H85" s="1">
        <v>21</v>
      </c>
      <c r="I85" s="27" t="s">
        <v>530</v>
      </c>
      <c r="K85" s="27">
        <v>9163818577</v>
      </c>
      <c r="L85" s="36" t="s">
        <v>54</v>
      </c>
      <c r="M85" s="27"/>
      <c r="O85" s="27" t="s">
        <v>46</v>
      </c>
      <c r="P85" s="27" t="s">
        <v>47</v>
      </c>
      <c r="Q85" s="27" t="s">
        <v>48</v>
      </c>
      <c r="R85" s="27" t="s">
        <v>49</v>
      </c>
      <c r="U85" s="27" t="s">
        <v>203</v>
      </c>
      <c r="V85" s="27" t="s">
        <v>251</v>
      </c>
      <c r="W85" s="27" t="s">
        <v>531</v>
      </c>
      <c r="X85" s="27">
        <v>12000</v>
      </c>
      <c r="Y85" s="27">
        <v>5</v>
      </c>
      <c r="Z85" s="27">
        <f t="shared" si="2"/>
        <v>2400</v>
      </c>
      <c r="AE85" s="27" t="s">
        <v>251</v>
      </c>
      <c r="AF85" s="27" t="s">
        <v>532</v>
      </c>
      <c r="AH85" s="27">
        <v>5000</v>
      </c>
      <c r="AI85" s="27" t="s">
        <v>533</v>
      </c>
      <c r="AJ85" s="27" t="s">
        <v>410</v>
      </c>
      <c r="AK85" s="27" t="s">
        <v>434</v>
      </c>
      <c r="AL85" s="27" t="s">
        <v>534</v>
      </c>
    </row>
    <row r="86" spans="2:38" ht="12.75" x14ac:dyDescent="0.2">
      <c r="B86" s="1">
        <v>20</v>
      </c>
      <c r="C86" s="27" t="s">
        <v>535</v>
      </c>
      <c r="D86" s="27" t="s">
        <v>536</v>
      </c>
      <c r="E86" s="27" t="s">
        <v>43</v>
      </c>
      <c r="F86" s="27"/>
      <c r="G86" s="27" t="s">
        <v>537</v>
      </c>
      <c r="H86" s="1">
        <v>19</v>
      </c>
      <c r="I86" s="27" t="s">
        <v>530</v>
      </c>
      <c r="K86" s="27">
        <v>8910371624</v>
      </c>
      <c r="L86" s="36" t="s">
        <v>54</v>
      </c>
      <c r="M86" s="27"/>
      <c r="O86" s="27" t="s">
        <v>46</v>
      </c>
      <c r="P86" s="27" t="s">
        <v>47</v>
      </c>
      <c r="Q86" s="27" t="s">
        <v>48</v>
      </c>
      <c r="R86" s="27" t="s">
        <v>49</v>
      </c>
      <c r="U86" s="27" t="s">
        <v>150</v>
      </c>
      <c r="V86" s="27" t="s">
        <v>151</v>
      </c>
      <c r="X86" s="27">
        <v>8000</v>
      </c>
      <c r="Y86" s="27">
        <v>7</v>
      </c>
      <c r="Z86" s="27">
        <f t="shared" si="2"/>
        <v>1142.8571428571429</v>
      </c>
      <c r="AE86" s="27" t="s">
        <v>251</v>
      </c>
      <c r="AF86" s="27" t="s">
        <v>538</v>
      </c>
      <c r="AI86" s="27" t="s">
        <v>539</v>
      </c>
      <c r="AJ86" s="27" t="s">
        <v>433</v>
      </c>
      <c r="AK86" s="27" t="s">
        <v>434</v>
      </c>
      <c r="AL86" s="27" t="s">
        <v>540</v>
      </c>
    </row>
    <row r="87" spans="2:38" ht="12.75" x14ac:dyDescent="0.2">
      <c r="B87" s="1">
        <v>21</v>
      </c>
      <c r="C87" s="27" t="s">
        <v>541</v>
      </c>
      <c r="D87" s="27" t="s">
        <v>542</v>
      </c>
      <c r="E87" s="27" t="s">
        <v>43</v>
      </c>
      <c r="F87" s="27"/>
      <c r="G87" s="27" t="s">
        <v>543</v>
      </c>
      <c r="H87" s="1">
        <v>19</v>
      </c>
      <c r="I87" s="27" t="s">
        <v>530</v>
      </c>
      <c r="K87" s="27">
        <v>6290137984</v>
      </c>
      <c r="L87" s="36" t="s">
        <v>81</v>
      </c>
      <c r="M87" s="27" t="s">
        <v>142</v>
      </c>
      <c r="O87" s="27" t="s">
        <v>46</v>
      </c>
      <c r="P87" s="27" t="s">
        <v>47</v>
      </c>
      <c r="Q87" s="27" t="s">
        <v>48</v>
      </c>
      <c r="R87" s="27" t="s">
        <v>49</v>
      </c>
      <c r="U87" s="27" t="s">
        <v>203</v>
      </c>
      <c r="V87" s="27" t="s">
        <v>151</v>
      </c>
      <c r="X87" s="27">
        <v>10000</v>
      </c>
      <c r="Y87" s="27">
        <v>4</v>
      </c>
      <c r="Z87" s="27">
        <f t="shared" si="2"/>
        <v>2500</v>
      </c>
      <c r="AE87" s="27" t="s">
        <v>251</v>
      </c>
      <c r="AF87" s="27" t="s">
        <v>538</v>
      </c>
      <c r="AI87" s="27" t="s">
        <v>539</v>
      </c>
      <c r="AJ87" s="27" t="s">
        <v>410</v>
      </c>
      <c r="AK87" s="27" t="s">
        <v>434</v>
      </c>
      <c r="AL87" s="27" t="s">
        <v>526</v>
      </c>
    </row>
    <row r="88" spans="2:38" ht="12.75" x14ac:dyDescent="0.2">
      <c r="B88" s="1">
        <v>22</v>
      </c>
      <c r="C88" s="27" t="s">
        <v>544</v>
      </c>
      <c r="D88" s="27" t="s">
        <v>545</v>
      </c>
      <c r="E88" s="27" t="s">
        <v>43</v>
      </c>
      <c r="F88" s="27"/>
      <c r="G88" s="27" t="s">
        <v>546</v>
      </c>
      <c r="H88" s="1">
        <v>32</v>
      </c>
      <c r="I88" s="27" t="s">
        <v>547</v>
      </c>
      <c r="K88" s="27">
        <v>9007583615</v>
      </c>
      <c r="L88" s="36" t="s">
        <v>81</v>
      </c>
      <c r="M88" s="27" t="s">
        <v>82</v>
      </c>
      <c r="O88" s="27" t="s">
        <v>46</v>
      </c>
      <c r="P88" s="27" t="s">
        <v>60</v>
      </c>
      <c r="Q88" s="27" t="s">
        <v>61</v>
      </c>
      <c r="R88" s="27" t="s">
        <v>83</v>
      </c>
      <c r="S88" s="27">
        <v>26</v>
      </c>
      <c r="T88" s="27">
        <v>1</v>
      </c>
      <c r="U88" s="27" t="s">
        <v>261</v>
      </c>
      <c r="V88" s="27" t="s">
        <v>151</v>
      </c>
      <c r="X88" s="27">
        <v>19000</v>
      </c>
      <c r="Y88" s="27">
        <v>5</v>
      </c>
      <c r="Z88" s="27">
        <f t="shared" si="2"/>
        <v>3800</v>
      </c>
      <c r="AE88" s="27" t="s">
        <v>251</v>
      </c>
      <c r="AF88" s="27" t="s">
        <v>548</v>
      </c>
      <c r="AH88" s="27">
        <v>0</v>
      </c>
      <c r="AI88" s="27" t="s">
        <v>549</v>
      </c>
      <c r="AJ88" s="27" t="s">
        <v>410</v>
      </c>
      <c r="AK88" s="27" t="s">
        <v>434</v>
      </c>
      <c r="AL88" s="27" t="s">
        <v>468</v>
      </c>
    </row>
    <row r="89" spans="2:38" ht="12.75" x14ac:dyDescent="0.2">
      <c r="B89" s="1">
        <v>23</v>
      </c>
      <c r="C89" s="27" t="s">
        <v>550</v>
      </c>
      <c r="D89" s="27" t="s">
        <v>551</v>
      </c>
      <c r="E89" s="27" t="s">
        <v>78</v>
      </c>
      <c r="F89" s="27"/>
      <c r="G89" s="27" t="s">
        <v>552</v>
      </c>
      <c r="H89" s="1">
        <v>32</v>
      </c>
      <c r="I89" s="27" t="s">
        <v>553</v>
      </c>
      <c r="K89" s="27">
        <v>9433542099</v>
      </c>
      <c r="L89" s="36" t="s">
        <v>81</v>
      </c>
      <c r="M89" s="27" t="s">
        <v>82</v>
      </c>
      <c r="O89" s="27" t="s">
        <v>46</v>
      </c>
      <c r="P89" s="27" t="s">
        <v>47</v>
      </c>
      <c r="Q89" s="27" t="s">
        <v>48</v>
      </c>
      <c r="R89" s="27" t="s">
        <v>83</v>
      </c>
      <c r="S89" s="27">
        <v>27</v>
      </c>
      <c r="T89" s="27">
        <v>1</v>
      </c>
      <c r="U89" s="27" t="s">
        <v>190</v>
      </c>
      <c r="V89" s="27" t="s">
        <v>151</v>
      </c>
      <c r="X89" s="27">
        <v>10000</v>
      </c>
      <c r="Y89" s="27">
        <v>9</v>
      </c>
      <c r="Z89" s="27">
        <f t="shared" si="2"/>
        <v>1111.1111111111111</v>
      </c>
      <c r="AE89" s="27" t="s">
        <v>251</v>
      </c>
      <c r="AF89" s="27" t="s">
        <v>554</v>
      </c>
      <c r="AH89" s="27">
        <v>0</v>
      </c>
      <c r="AI89" s="27" t="s">
        <v>539</v>
      </c>
      <c r="AJ89" s="27" t="s">
        <v>410</v>
      </c>
      <c r="AK89" s="27" t="s">
        <v>411</v>
      </c>
      <c r="AL89" s="27" t="s">
        <v>468</v>
      </c>
    </row>
    <row r="90" spans="2:38" ht="12.75" x14ac:dyDescent="0.2">
      <c r="B90" s="1">
        <v>24</v>
      </c>
      <c r="C90" s="27" t="s">
        <v>555</v>
      </c>
      <c r="D90" s="27" t="s">
        <v>556</v>
      </c>
      <c r="E90" s="27" t="s">
        <v>78</v>
      </c>
      <c r="F90" s="27"/>
      <c r="G90" s="27" t="s">
        <v>557</v>
      </c>
      <c r="H90" s="1">
        <v>19</v>
      </c>
      <c r="I90" s="27" t="s">
        <v>558</v>
      </c>
      <c r="K90" s="27">
        <v>8910890838</v>
      </c>
      <c r="L90" s="36" t="s">
        <v>54</v>
      </c>
      <c r="M90" s="27"/>
      <c r="O90" s="27" t="s">
        <v>46</v>
      </c>
      <c r="P90" s="27" t="s">
        <v>47</v>
      </c>
      <c r="Q90" s="27" t="s">
        <v>48</v>
      </c>
      <c r="R90" s="27" t="s">
        <v>49</v>
      </c>
      <c r="U90" s="27" t="s">
        <v>190</v>
      </c>
      <c r="V90" s="27" t="s">
        <v>151</v>
      </c>
      <c r="X90" s="27">
        <v>14000</v>
      </c>
      <c r="Y90" s="27">
        <v>5</v>
      </c>
      <c r="Z90" s="27">
        <f t="shared" si="2"/>
        <v>2800</v>
      </c>
      <c r="AE90" s="27" t="s">
        <v>151</v>
      </c>
      <c r="AI90" s="27" t="s">
        <v>422</v>
      </c>
      <c r="AJ90" s="27" t="s">
        <v>410</v>
      </c>
      <c r="AK90" s="27" t="s">
        <v>434</v>
      </c>
      <c r="AL90" s="27" t="s">
        <v>468</v>
      </c>
    </row>
    <row r="91" spans="2:38" ht="12.75" x14ac:dyDescent="0.2">
      <c r="B91" s="1">
        <v>25</v>
      </c>
      <c r="C91" s="27" t="s">
        <v>559</v>
      </c>
      <c r="D91" s="27" t="s">
        <v>560</v>
      </c>
      <c r="E91" s="27" t="s">
        <v>43</v>
      </c>
      <c r="F91" s="27"/>
      <c r="G91" s="27" t="s">
        <v>561</v>
      </c>
      <c r="H91" s="1">
        <v>29</v>
      </c>
      <c r="I91" s="27" t="s">
        <v>562</v>
      </c>
      <c r="K91" s="27">
        <v>9339887057</v>
      </c>
      <c r="L91" s="36" t="s">
        <v>54</v>
      </c>
      <c r="M91" s="27"/>
      <c r="O91" s="27" t="s">
        <v>46</v>
      </c>
      <c r="P91" s="27" t="s">
        <v>175</v>
      </c>
      <c r="Q91" s="27" t="s">
        <v>48</v>
      </c>
      <c r="R91" s="27" t="s">
        <v>260</v>
      </c>
      <c r="S91" s="27">
        <v>26</v>
      </c>
      <c r="T91" s="27">
        <v>1</v>
      </c>
      <c r="U91" s="27" t="s">
        <v>203</v>
      </c>
      <c r="V91" s="27" t="s">
        <v>151</v>
      </c>
      <c r="X91" s="27">
        <v>16000</v>
      </c>
      <c r="Y91" s="27">
        <v>7</v>
      </c>
      <c r="Z91" s="27">
        <f t="shared" si="2"/>
        <v>2285.7142857142858</v>
      </c>
      <c r="AE91" s="27" t="s">
        <v>151</v>
      </c>
      <c r="AI91" s="27" t="s">
        <v>207</v>
      </c>
      <c r="AJ91" s="27" t="s">
        <v>410</v>
      </c>
      <c r="AK91" s="27" t="s">
        <v>434</v>
      </c>
      <c r="AL91" s="27" t="s">
        <v>412</v>
      </c>
    </row>
    <row r="92" spans="2:38" ht="12.75" x14ac:dyDescent="0.2">
      <c r="B92" s="1">
        <v>26</v>
      </c>
      <c r="C92" s="27" t="s">
        <v>563</v>
      </c>
      <c r="D92" s="27" t="s">
        <v>564</v>
      </c>
      <c r="E92" s="27" t="s">
        <v>43</v>
      </c>
      <c r="F92" s="27"/>
      <c r="G92" s="27" t="s">
        <v>565</v>
      </c>
      <c r="H92" s="1">
        <v>29</v>
      </c>
      <c r="I92" s="27" t="s">
        <v>566</v>
      </c>
      <c r="K92" s="27">
        <v>8910915499</v>
      </c>
      <c r="L92" s="36" t="s">
        <v>54</v>
      </c>
      <c r="M92" s="27"/>
      <c r="O92" s="27" t="s">
        <v>46</v>
      </c>
      <c r="P92" s="27" t="s">
        <v>47</v>
      </c>
      <c r="Q92" s="27" t="s">
        <v>48</v>
      </c>
      <c r="R92" s="27" t="s">
        <v>49</v>
      </c>
      <c r="U92" s="27" t="s">
        <v>150</v>
      </c>
      <c r="V92" s="27" t="s">
        <v>151</v>
      </c>
      <c r="X92" s="27">
        <v>6000</v>
      </c>
      <c r="Y92" s="27">
        <v>2</v>
      </c>
      <c r="Z92" s="27">
        <f t="shared" si="2"/>
        <v>3000</v>
      </c>
      <c r="AE92" s="27" t="s">
        <v>151</v>
      </c>
      <c r="AI92" s="27" t="s">
        <v>567</v>
      </c>
      <c r="AJ92" s="27" t="s">
        <v>410</v>
      </c>
      <c r="AK92" s="27" t="s">
        <v>434</v>
      </c>
      <c r="AL92" s="27" t="s">
        <v>412</v>
      </c>
    </row>
    <row r="93" spans="2:38" ht="12.75" x14ac:dyDescent="0.2">
      <c r="B93" s="1"/>
      <c r="H93" s="1"/>
      <c r="L93" s="36"/>
    </row>
    <row r="94" spans="2:38" ht="12.75" x14ac:dyDescent="0.2">
      <c r="B94" s="1"/>
      <c r="H94" s="1"/>
      <c r="L94" s="36"/>
      <c r="AE94" s="47"/>
    </row>
    <row r="95" spans="2:38" ht="12.75" x14ac:dyDescent="0.2">
      <c r="B95" s="1"/>
      <c r="H95" s="1"/>
      <c r="L95" s="36"/>
    </row>
    <row r="96" spans="2:38" ht="12.75" x14ac:dyDescent="0.2">
      <c r="B96" s="1"/>
      <c r="H96" s="1"/>
      <c r="L96" s="36"/>
    </row>
    <row r="97" spans="2:12" ht="12.75" x14ac:dyDescent="0.2">
      <c r="B97" s="1"/>
      <c r="H97" s="1"/>
      <c r="L97" s="36"/>
    </row>
    <row r="98" spans="2:12" ht="12.75" x14ac:dyDescent="0.2">
      <c r="B98" s="1"/>
      <c r="H98" s="1"/>
      <c r="L98" s="36"/>
    </row>
    <row r="99" spans="2:12" ht="12.75" x14ac:dyDescent="0.2">
      <c r="B99" s="1"/>
      <c r="H99" s="1"/>
      <c r="L99" s="36"/>
    </row>
    <row r="100" spans="2:12" ht="12.75" x14ac:dyDescent="0.2">
      <c r="B100" s="1"/>
      <c r="H100" s="1"/>
      <c r="L100" s="36"/>
    </row>
    <row r="101" spans="2:12" ht="12.75" x14ac:dyDescent="0.2">
      <c r="B101" s="1"/>
      <c r="H101" s="1"/>
      <c r="L101" s="36"/>
    </row>
    <row r="102" spans="2:12" ht="12.75" x14ac:dyDescent="0.2">
      <c r="B102" s="1"/>
      <c r="H102" s="1"/>
      <c r="L102" s="36"/>
    </row>
    <row r="103" spans="2:12" ht="12.75" x14ac:dyDescent="0.2">
      <c r="B103" s="1"/>
      <c r="H103" s="1"/>
      <c r="L103" s="36"/>
    </row>
    <row r="104" spans="2:12" ht="12.75" x14ac:dyDescent="0.2">
      <c r="B104" s="1"/>
      <c r="H104" s="1"/>
      <c r="L104" s="36"/>
    </row>
    <row r="105" spans="2:12" ht="12.75" x14ac:dyDescent="0.2">
      <c r="B105" s="1"/>
      <c r="H105" s="1"/>
      <c r="L105" s="36"/>
    </row>
    <row r="106" spans="2:12" ht="12.75" x14ac:dyDescent="0.2">
      <c r="B106" s="1"/>
      <c r="H106" s="1"/>
      <c r="L106" s="36"/>
    </row>
    <row r="107" spans="2:12" ht="12.75" x14ac:dyDescent="0.2">
      <c r="B107" s="1"/>
      <c r="H107" s="1"/>
      <c r="L107" s="36"/>
    </row>
    <row r="108" spans="2:12" ht="12.75" x14ac:dyDescent="0.2">
      <c r="B108" s="1"/>
      <c r="H108" s="1"/>
      <c r="L108" s="36"/>
    </row>
    <row r="109" spans="2:12" ht="12.75" x14ac:dyDescent="0.2">
      <c r="B109" s="1"/>
      <c r="H109" s="1"/>
      <c r="L109" s="36"/>
    </row>
    <row r="110" spans="2:12" ht="12.75" x14ac:dyDescent="0.2">
      <c r="B110" s="1"/>
      <c r="H110" s="1"/>
      <c r="L110" s="36"/>
    </row>
    <row r="111" spans="2:12" ht="12.75" x14ac:dyDescent="0.2">
      <c r="B111" s="1"/>
      <c r="H111" s="1"/>
      <c r="L111" s="36"/>
    </row>
    <row r="112" spans="2:12" ht="12.75" x14ac:dyDescent="0.2">
      <c r="B112" s="1"/>
      <c r="H112" s="1"/>
      <c r="L112" s="36"/>
    </row>
    <row r="113" spans="2:12" ht="12.75" x14ac:dyDescent="0.2">
      <c r="B113" s="1"/>
      <c r="H113" s="1"/>
      <c r="L113" s="36"/>
    </row>
    <row r="114" spans="2:12" ht="12.75" x14ac:dyDescent="0.2">
      <c r="B114" s="1"/>
      <c r="H114" s="1"/>
      <c r="L114" s="36"/>
    </row>
    <row r="115" spans="2:12" ht="12.75" x14ac:dyDescent="0.2">
      <c r="B115" s="1"/>
      <c r="H115" s="1"/>
      <c r="L115" s="36"/>
    </row>
    <row r="116" spans="2:12" ht="12.75" x14ac:dyDescent="0.2">
      <c r="B116" s="1"/>
      <c r="H116" s="1"/>
      <c r="L116" s="36"/>
    </row>
    <row r="117" spans="2:12" ht="12.75" x14ac:dyDescent="0.2">
      <c r="B117" s="1"/>
      <c r="H117" s="1"/>
      <c r="L117" s="36"/>
    </row>
    <row r="118" spans="2:12" ht="12.75" x14ac:dyDescent="0.2">
      <c r="B118" s="1"/>
      <c r="H118" s="1"/>
      <c r="L118" s="36"/>
    </row>
    <row r="119" spans="2:12" ht="12.75" x14ac:dyDescent="0.2">
      <c r="B119" s="1"/>
      <c r="H119" s="1"/>
      <c r="L119" s="36"/>
    </row>
    <row r="120" spans="2:12" ht="12.75" x14ac:dyDescent="0.2">
      <c r="B120" s="1"/>
      <c r="H120" s="1"/>
      <c r="L120" s="36"/>
    </row>
    <row r="121" spans="2:12" ht="12.75" x14ac:dyDescent="0.2">
      <c r="B121" s="1"/>
      <c r="H121" s="1"/>
      <c r="L121" s="36"/>
    </row>
    <row r="122" spans="2:12" ht="12.75" x14ac:dyDescent="0.2">
      <c r="B122" s="1"/>
      <c r="H122" s="1"/>
      <c r="L122" s="36"/>
    </row>
    <row r="123" spans="2:12" ht="12.75" x14ac:dyDescent="0.2">
      <c r="B123" s="1"/>
      <c r="H123" s="1"/>
      <c r="L123" s="36"/>
    </row>
    <row r="124" spans="2:12" ht="12.75" x14ac:dyDescent="0.2">
      <c r="B124" s="1"/>
      <c r="H124" s="1"/>
    </row>
    <row r="125" spans="2:12" ht="12.75" x14ac:dyDescent="0.2">
      <c r="B125" s="1"/>
      <c r="H125" s="1"/>
    </row>
    <row r="126" spans="2:12" ht="12.75" x14ac:dyDescent="0.2">
      <c r="B126" s="1"/>
      <c r="H126" s="1"/>
    </row>
    <row r="127" spans="2:12" ht="12.75" x14ac:dyDescent="0.2">
      <c r="B127" s="1"/>
      <c r="H127" s="1"/>
    </row>
    <row r="128" spans="2:12" ht="12.75" x14ac:dyDescent="0.2">
      <c r="B128" s="1"/>
      <c r="H128" s="1"/>
    </row>
    <row r="129" spans="2:8" ht="12.75" x14ac:dyDescent="0.2">
      <c r="B129" s="1"/>
      <c r="H129" s="1"/>
    </row>
    <row r="130" spans="2:8" ht="12.75" x14ac:dyDescent="0.2">
      <c r="B130" s="1"/>
      <c r="H130" s="1"/>
    </row>
    <row r="131" spans="2:8" ht="12.75" x14ac:dyDescent="0.2">
      <c r="B131" s="1"/>
      <c r="H131" s="1"/>
    </row>
    <row r="132" spans="2:8" ht="12.75" x14ac:dyDescent="0.2">
      <c r="B132" s="1"/>
      <c r="H132" s="1"/>
    </row>
    <row r="133" spans="2:8" ht="12.75" x14ac:dyDescent="0.2">
      <c r="B133" s="1"/>
      <c r="H133" s="1"/>
    </row>
    <row r="134" spans="2:8" ht="12.75" x14ac:dyDescent="0.2">
      <c r="B134" s="1"/>
      <c r="H134" s="1"/>
    </row>
    <row r="135" spans="2:8" ht="12.75" x14ac:dyDescent="0.2">
      <c r="B135" s="1"/>
      <c r="H135" s="1"/>
    </row>
    <row r="136" spans="2:8" ht="12.75" x14ac:dyDescent="0.2">
      <c r="B136" s="1"/>
      <c r="H136" s="1"/>
    </row>
    <row r="137" spans="2:8" ht="12.75" x14ac:dyDescent="0.2">
      <c r="B137" s="1"/>
      <c r="H137" s="1"/>
    </row>
    <row r="138" spans="2:8" ht="12.75" x14ac:dyDescent="0.2">
      <c r="B138" s="1"/>
      <c r="H138" s="1"/>
    </row>
    <row r="139" spans="2:8" ht="12.75" x14ac:dyDescent="0.2">
      <c r="B139" s="1"/>
      <c r="H139" s="1"/>
    </row>
    <row r="140" spans="2:8" ht="12.75" x14ac:dyDescent="0.2">
      <c r="B140" s="1"/>
      <c r="H140" s="1"/>
    </row>
    <row r="141" spans="2:8" ht="12.75" x14ac:dyDescent="0.2">
      <c r="B141" s="1"/>
      <c r="H141" s="1"/>
    </row>
    <row r="142" spans="2:8" ht="12.75" x14ac:dyDescent="0.2">
      <c r="B142" s="1"/>
      <c r="H142" s="1"/>
    </row>
    <row r="143" spans="2:8" ht="12.75" x14ac:dyDescent="0.2">
      <c r="B143" s="1"/>
      <c r="H143" s="1"/>
    </row>
    <row r="144" spans="2:8" ht="12.75" x14ac:dyDescent="0.2">
      <c r="B144" s="1"/>
      <c r="H144" s="1"/>
    </row>
    <row r="145" spans="2:8" ht="12.75" x14ac:dyDescent="0.2">
      <c r="B145" s="1"/>
      <c r="H145" s="1"/>
    </row>
    <row r="146" spans="2:8" ht="12.75" x14ac:dyDescent="0.2">
      <c r="B146" s="1"/>
      <c r="H146" s="1"/>
    </row>
    <row r="147" spans="2:8" ht="12.75" x14ac:dyDescent="0.2">
      <c r="B147" s="1"/>
      <c r="H147" s="1"/>
    </row>
    <row r="148" spans="2:8" ht="12.75" x14ac:dyDescent="0.2">
      <c r="B148" s="1"/>
      <c r="H148" s="1"/>
    </row>
    <row r="149" spans="2:8" ht="12.75" x14ac:dyDescent="0.2">
      <c r="B149" s="1"/>
      <c r="H149" s="1"/>
    </row>
    <row r="150" spans="2:8" ht="12.75" x14ac:dyDescent="0.2">
      <c r="B150" s="1"/>
      <c r="H150" s="1"/>
    </row>
    <row r="151" spans="2:8" ht="12.75" x14ac:dyDescent="0.2">
      <c r="B151" s="1"/>
      <c r="H151" s="1"/>
    </row>
    <row r="152" spans="2:8" ht="12.75" x14ac:dyDescent="0.2">
      <c r="B152" s="1"/>
      <c r="H152" s="1"/>
    </row>
    <row r="153" spans="2:8" ht="12.75" x14ac:dyDescent="0.2">
      <c r="B153" s="1"/>
      <c r="H153" s="1"/>
    </row>
    <row r="154" spans="2:8" ht="12.75" x14ac:dyDescent="0.2">
      <c r="B154" s="1"/>
      <c r="H154" s="1"/>
    </row>
    <row r="155" spans="2:8" ht="12.75" x14ac:dyDescent="0.2">
      <c r="B155" s="1"/>
      <c r="H155" s="1"/>
    </row>
    <row r="156" spans="2:8" ht="12.75" x14ac:dyDescent="0.2">
      <c r="B156" s="1"/>
      <c r="H156" s="1"/>
    </row>
    <row r="157" spans="2:8" ht="12.75" x14ac:dyDescent="0.2">
      <c r="B157" s="1"/>
      <c r="H157" s="1"/>
    </row>
    <row r="158" spans="2:8" ht="12.75" x14ac:dyDescent="0.2">
      <c r="B158" s="1"/>
      <c r="H158" s="1"/>
    </row>
    <row r="159" spans="2:8" ht="12.75" x14ac:dyDescent="0.2">
      <c r="B159" s="1"/>
      <c r="H159" s="1"/>
    </row>
    <row r="160" spans="2:8" ht="12.75" x14ac:dyDescent="0.2">
      <c r="B160" s="1"/>
      <c r="H160" s="1"/>
    </row>
    <row r="161" spans="2:8" ht="12.75" x14ac:dyDescent="0.2">
      <c r="B161" s="1"/>
      <c r="H161" s="1"/>
    </row>
    <row r="162" spans="2:8" ht="12.75" x14ac:dyDescent="0.2">
      <c r="B162" s="1"/>
      <c r="H162" s="1"/>
    </row>
    <row r="163" spans="2:8" ht="12.75" x14ac:dyDescent="0.2">
      <c r="B163" s="1"/>
      <c r="H163" s="1"/>
    </row>
    <row r="164" spans="2:8" ht="12.75" x14ac:dyDescent="0.2">
      <c r="B164" s="1"/>
      <c r="H164" s="1"/>
    </row>
    <row r="165" spans="2:8" ht="12.75" x14ac:dyDescent="0.2">
      <c r="B165" s="1"/>
      <c r="H165" s="1"/>
    </row>
    <row r="166" spans="2:8" ht="12.75" x14ac:dyDescent="0.2">
      <c r="B166" s="1"/>
      <c r="H166" s="1"/>
    </row>
    <row r="167" spans="2:8" ht="12.75" x14ac:dyDescent="0.2">
      <c r="B167" s="1"/>
      <c r="H167" s="1"/>
    </row>
    <row r="168" spans="2:8" ht="12.75" x14ac:dyDescent="0.2">
      <c r="B168" s="1"/>
      <c r="H168" s="1"/>
    </row>
    <row r="169" spans="2:8" ht="12.75" x14ac:dyDescent="0.2">
      <c r="B169" s="1"/>
      <c r="H169" s="1"/>
    </row>
    <row r="170" spans="2:8" ht="12.75" x14ac:dyDescent="0.2">
      <c r="B170" s="1"/>
      <c r="H170" s="1"/>
    </row>
    <row r="171" spans="2:8" ht="12.75" x14ac:dyDescent="0.2">
      <c r="B171" s="1"/>
      <c r="H171" s="1"/>
    </row>
    <row r="172" spans="2:8" ht="12.75" x14ac:dyDescent="0.2">
      <c r="B172" s="1"/>
      <c r="H172" s="1"/>
    </row>
    <row r="173" spans="2:8" ht="12.75" x14ac:dyDescent="0.2">
      <c r="B173" s="1"/>
      <c r="H173" s="1"/>
    </row>
    <row r="174" spans="2:8" ht="12.75" x14ac:dyDescent="0.2">
      <c r="B174" s="1"/>
      <c r="H174" s="1"/>
    </row>
    <row r="175" spans="2:8" ht="12.75" x14ac:dyDescent="0.2">
      <c r="B175" s="1"/>
      <c r="H175" s="1"/>
    </row>
    <row r="176" spans="2:8" ht="12.75" x14ac:dyDescent="0.2">
      <c r="B176" s="1"/>
      <c r="H176" s="1"/>
    </row>
    <row r="177" spans="2:8" ht="12.75" x14ac:dyDescent="0.2">
      <c r="B177" s="1"/>
      <c r="H177" s="1"/>
    </row>
    <row r="178" spans="2:8" ht="12.75" x14ac:dyDescent="0.2">
      <c r="B178" s="1"/>
      <c r="H178" s="1"/>
    </row>
    <row r="179" spans="2:8" ht="12.75" x14ac:dyDescent="0.2">
      <c r="B179" s="1"/>
      <c r="H179" s="1"/>
    </row>
    <row r="180" spans="2:8" ht="12.75" x14ac:dyDescent="0.2">
      <c r="B180" s="1"/>
      <c r="H180" s="1"/>
    </row>
    <row r="181" spans="2:8" ht="12.75" x14ac:dyDescent="0.2">
      <c r="B181" s="1"/>
      <c r="H181" s="1"/>
    </row>
    <row r="182" spans="2:8" ht="12.75" x14ac:dyDescent="0.2">
      <c r="B182" s="1"/>
      <c r="H182" s="1"/>
    </row>
    <row r="183" spans="2:8" ht="12.75" x14ac:dyDescent="0.2">
      <c r="B183" s="1"/>
      <c r="H183" s="1"/>
    </row>
    <row r="184" spans="2:8" ht="12.75" x14ac:dyDescent="0.2">
      <c r="B184" s="1"/>
      <c r="H184" s="1"/>
    </row>
    <row r="185" spans="2:8" ht="12.75" x14ac:dyDescent="0.2">
      <c r="B185" s="1"/>
      <c r="H185" s="1"/>
    </row>
    <row r="186" spans="2:8" ht="12.75" x14ac:dyDescent="0.2">
      <c r="B186" s="1"/>
      <c r="H186" s="1"/>
    </row>
    <row r="187" spans="2:8" ht="12.75" x14ac:dyDescent="0.2">
      <c r="B187" s="1"/>
      <c r="H187" s="1"/>
    </row>
    <row r="188" spans="2:8" ht="12.75" x14ac:dyDescent="0.2">
      <c r="B188" s="1"/>
      <c r="H188" s="1"/>
    </row>
    <row r="189" spans="2:8" ht="12.75" x14ac:dyDescent="0.2">
      <c r="B189" s="1"/>
      <c r="H189" s="1"/>
    </row>
    <row r="190" spans="2:8" ht="12.75" x14ac:dyDescent="0.2">
      <c r="B190" s="1"/>
      <c r="H190" s="1"/>
    </row>
    <row r="191" spans="2:8" ht="12.75" x14ac:dyDescent="0.2">
      <c r="B191" s="1"/>
      <c r="H191" s="1"/>
    </row>
    <row r="192" spans="2:8" ht="12.75" x14ac:dyDescent="0.2">
      <c r="B192" s="1"/>
      <c r="H192" s="1"/>
    </row>
    <row r="193" spans="2:8" ht="12.75" x14ac:dyDescent="0.2">
      <c r="B193" s="1"/>
      <c r="H193" s="1"/>
    </row>
    <row r="194" spans="2:8" ht="12.75" x14ac:dyDescent="0.2">
      <c r="B194" s="1"/>
      <c r="H194" s="1"/>
    </row>
    <row r="195" spans="2:8" ht="12.75" x14ac:dyDescent="0.2">
      <c r="B195" s="1"/>
      <c r="H195" s="1"/>
    </row>
    <row r="196" spans="2:8" ht="12.75" x14ac:dyDescent="0.2">
      <c r="B196" s="1"/>
      <c r="H196" s="1"/>
    </row>
    <row r="197" spans="2:8" ht="12.75" x14ac:dyDescent="0.2">
      <c r="B197" s="1"/>
      <c r="H197" s="1"/>
    </row>
    <row r="198" spans="2:8" ht="12.75" x14ac:dyDescent="0.2">
      <c r="B198" s="1"/>
      <c r="H198" s="1"/>
    </row>
    <row r="199" spans="2:8" ht="12.75" x14ac:dyDescent="0.2">
      <c r="B199" s="1"/>
      <c r="H199" s="1"/>
    </row>
    <row r="200" spans="2:8" ht="12.75" x14ac:dyDescent="0.2">
      <c r="B200" s="1"/>
      <c r="H200" s="1"/>
    </row>
    <row r="201" spans="2:8" ht="12.75" x14ac:dyDescent="0.2">
      <c r="B201" s="1"/>
      <c r="H201" s="1"/>
    </row>
    <row r="202" spans="2:8" ht="12.75" x14ac:dyDescent="0.2">
      <c r="B202" s="1"/>
      <c r="H202" s="1"/>
    </row>
    <row r="203" spans="2:8" ht="12.75" x14ac:dyDescent="0.2">
      <c r="B203" s="1"/>
      <c r="H203" s="1"/>
    </row>
    <row r="204" spans="2:8" ht="12.75" x14ac:dyDescent="0.2">
      <c r="B204" s="1"/>
      <c r="H204" s="1"/>
    </row>
    <row r="205" spans="2:8" ht="12.75" x14ac:dyDescent="0.2">
      <c r="B205" s="1"/>
      <c r="H205" s="1"/>
    </row>
    <row r="206" spans="2:8" ht="12.75" x14ac:dyDescent="0.2">
      <c r="B206" s="1"/>
      <c r="H206" s="1"/>
    </row>
    <row r="207" spans="2:8" ht="12.75" x14ac:dyDescent="0.2">
      <c r="B207" s="1"/>
      <c r="H207" s="1"/>
    </row>
    <row r="208" spans="2:8" ht="12.75" x14ac:dyDescent="0.2">
      <c r="B208" s="1"/>
      <c r="H208" s="1"/>
    </row>
    <row r="209" spans="2:8" ht="12.75" x14ac:dyDescent="0.2">
      <c r="B209" s="1"/>
      <c r="H209" s="1"/>
    </row>
    <row r="210" spans="2:8" ht="12.75" x14ac:dyDescent="0.2">
      <c r="B210" s="1"/>
      <c r="H210" s="1"/>
    </row>
    <row r="211" spans="2:8" ht="12.75" x14ac:dyDescent="0.2">
      <c r="B211" s="1"/>
      <c r="H211" s="1"/>
    </row>
    <row r="212" spans="2:8" ht="12.75" x14ac:dyDescent="0.2">
      <c r="B212" s="1"/>
      <c r="H212" s="1"/>
    </row>
    <row r="213" spans="2:8" ht="12.75" x14ac:dyDescent="0.2">
      <c r="B213" s="1"/>
      <c r="H213" s="1"/>
    </row>
    <row r="214" spans="2:8" ht="12.75" x14ac:dyDescent="0.2">
      <c r="B214" s="1"/>
      <c r="H214" s="1"/>
    </row>
    <row r="215" spans="2:8" ht="12.75" x14ac:dyDescent="0.2">
      <c r="B215" s="1"/>
      <c r="H215" s="1"/>
    </row>
    <row r="216" spans="2:8" ht="12.75" x14ac:dyDescent="0.2">
      <c r="B216" s="1"/>
      <c r="H216" s="1"/>
    </row>
    <row r="217" spans="2:8" ht="12.75" x14ac:dyDescent="0.2">
      <c r="B217" s="1"/>
      <c r="H217" s="1"/>
    </row>
    <row r="218" spans="2:8" ht="12.75" x14ac:dyDescent="0.2">
      <c r="B218" s="1"/>
      <c r="H218" s="1"/>
    </row>
    <row r="219" spans="2:8" ht="12.75" x14ac:dyDescent="0.2">
      <c r="B219" s="1"/>
      <c r="H219" s="1"/>
    </row>
    <row r="220" spans="2:8" ht="12.75" x14ac:dyDescent="0.2">
      <c r="B220" s="1"/>
      <c r="H220" s="1"/>
    </row>
    <row r="221" spans="2:8" ht="12.75" x14ac:dyDescent="0.2">
      <c r="B221" s="1"/>
      <c r="H221" s="1"/>
    </row>
    <row r="222" spans="2:8" ht="12.75" x14ac:dyDescent="0.2">
      <c r="B222" s="1"/>
      <c r="H222" s="1"/>
    </row>
    <row r="223" spans="2:8" ht="12.75" x14ac:dyDescent="0.2">
      <c r="B223" s="1"/>
      <c r="H223" s="1"/>
    </row>
    <row r="224" spans="2:8" ht="12.75" x14ac:dyDescent="0.2">
      <c r="B224" s="1"/>
      <c r="H224" s="1"/>
    </row>
    <row r="225" spans="2:8" ht="12.75" x14ac:dyDescent="0.2">
      <c r="B225" s="1"/>
      <c r="H225" s="1"/>
    </row>
    <row r="226" spans="2:8" ht="12.75" x14ac:dyDescent="0.2">
      <c r="B226" s="1"/>
      <c r="H226" s="1"/>
    </row>
    <row r="227" spans="2:8" ht="12.75" x14ac:dyDescent="0.2">
      <c r="B227" s="1"/>
      <c r="H227" s="1"/>
    </row>
    <row r="228" spans="2:8" ht="12.75" x14ac:dyDescent="0.2">
      <c r="B228" s="1"/>
      <c r="H228" s="1"/>
    </row>
    <row r="229" spans="2:8" ht="12.75" x14ac:dyDescent="0.2">
      <c r="B229" s="1"/>
      <c r="H229" s="1"/>
    </row>
    <row r="230" spans="2:8" ht="12.75" x14ac:dyDescent="0.2">
      <c r="B230" s="1"/>
      <c r="H230" s="1"/>
    </row>
    <row r="231" spans="2:8" ht="12.75" x14ac:dyDescent="0.2">
      <c r="B231" s="1"/>
      <c r="H231" s="1"/>
    </row>
    <row r="232" spans="2:8" ht="12.75" x14ac:dyDescent="0.2">
      <c r="B232" s="1"/>
      <c r="H232" s="1"/>
    </row>
    <row r="233" spans="2:8" ht="12.75" x14ac:dyDescent="0.2">
      <c r="B233" s="1"/>
      <c r="H233" s="1"/>
    </row>
    <row r="234" spans="2:8" ht="12.75" x14ac:dyDescent="0.2">
      <c r="B234" s="1"/>
      <c r="H234" s="1"/>
    </row>
    <row r="235" spans="2:8" ht="12.75" x14ac:dyDescent="0.2">
      <c r="B235" s="1"/>
      <c r="H235" s="1"/>
    </row>
    <row r="236" spans="2:8" ht="12.75" x14ac:dyDescent="0.2">
      <c r="B236" s="1"/>
      <c r="H236" s="1"/>
    </row>
    <row r="237" spans="2:8" ht="12.75" x14ac:dyDescent="0.2">
      <c r="B237" s="1"/>
      <c r="H237" s="1"/>
    </row>
    <row r="238" spans="2:8" ht="12.75" x14ac:dyDescent="0.2">
      <c r="B238" s="1"/>
      <c r="H238" s="1"/>
    </row>
    <row r="239" spans="2:8" ht="12.75" x14ac:dyDescent="0.2">
      <c r="B239" s="1"/>
      <c r="H239" s="1"/>
    </row>
    <row r="240" spans="2:8" ht="12.75" x14ac:dyDescent="0.2">
      <c r="B240" s="1"/>
      <c r="H240" s="1"/>
    </row>
    <row r="241" spans="2:8" ht="12.75" x14ac:dyDescent="0.2">
      <c r="B241" s="1"/>
      <c r="H241" s="1"/>
    </row>
    <row r="242" spans="2:8" ht="12.75" x14ac:dyDescent="0.2">
      <c r="B242" s="1"/>
      <c r="H242" s="1"/>
    </row>
    <row r="243" spans="2:8" ht="12.75" x14ac:dyDescent="0.2">
      <c r="B243" s="1"/>
      <c r="H243" s="1"/>
    </row>
    <row r="244" spans="2:8" ht="12.75" x14ac:dyDescent="0.2">
      <c r="B244" s="1"/>
      <c r="H244" s="1"/>
    </row>
    <row r="245" spans="2:8" ht="12.75" x14ac:dyDescent="0.2">
      <c r="B245" s="1"/>
      <c r="H245" s="1"/>
    </row>
    <row r="246" spans="2:8" ht="12.75" x14ac:dyDescent="0.2">
      <c r="B246" s="1"/>
      <c r="H246" s="1"/>
    </row>
    <row r="247" spans="2:8" ht="12.75" x14ac:dyDescent="0.2">
      <c r="B247" s="1"/>
      <c r="H247" s="1"/>
    </row>
    <row r="248" spans="2:8" ht="12.75" x14ac:dyDescent="0.2">
      <c r="B248" s="1"/>
      <c r="H248" s="1"/>
    </row>
    <row r="249" spans="2:8" ht="12.75" x14ac:dyDescent="0.2">
      <c r="B249" s="1"/>
      <c r="H249" s="1"/>
    </row>
    <row r="250" spans="2:8" ht="12.75" x14ac:dyDescent="0.2">
      <c r="B250" s="1"/>
      <c r="H250" s="1"/>
    </row>
    <row r="251" spans="2:8" ht="12.75" x14ac:dyDescent="0.2">
      <c r="B251" s="1"/>
      <c r="H251" s="1"/>
    </row>
    <row r="252" spans="2:8" ht="12.75" x14ac:dyDescent="0.2">
      <c r="B252" s="1"/>
      <c r="H252" s="1"/>
    </row>
    <row r="253" spans="2:8" ht="12.75" x14ac:dyDescent="0.2">
      <c r="B253" s="1"/>
      <c r="H253" s="1"/>
    </row>
    <row r="254" spans="2:8" ht="12.75" x14ac:dyDescent="0.2">
      <c r="B254" s="1"/>
      <c r="H254" s="1"/>
    </row>
    <row r="255" spans="2:8" ht="12.75" x14ac:dyDescent="0.2">
      <c r="B255" s="1"/>
      <c r="H255" s="1"/>
    </row>
    <row r="256" spans="2:8" ht="12.75" x14ac:dyDescent="0.2">
      <c r="B256" s="1"/>
      <c r="H256" s="1"/>
    </row>
    <row r="257" spans="2:8" ht="12.75" x14ac:dyDescent="0.2">
      <c r="B257" s="1"/>
      <c r="H257" s="1"/>
    </row>
    <row r="258" spans="2:8" ht="12.75" x14ac:dyDescent="0.2">
      <c r="B258" s="1"/>
      <c r="H258" s="1"/>
    </row>
    <row r="259" spans="2:8" ht="12.75" x14ac:dyDescent="0.2">
      <c r="B259" s="1"/>
      <c r="H259" s="1"/>
    </row>
    <row r="260" spans="2:8" ht="12.75" x14ac:dyDescent="0.2">
      <c r="B260" s="1"/>
      <c r="H260" s="1"/>
    </row>
    <row r="261" spans="2:8" ht="12.75" x14ac:dyDescent="0.2">
      <c r="B261" s="1"/>
      <c r="H261" s="1"/>
    </row>
    <row r="262" spans="2:8" ht="12.75" x14ac:dyDescent="0.2">
      <c r="B262" s="1"/>
      <c r="H262" s="1"/>
    </row>
    <row r="263" spans="2:8" ht="12.75" x14ac:dyDescent="0.2">
      <c r="B263" s="1"/>
      <c r="H263" s="1"/>
    </row>
    <row r="264" spans="2:8" ht="12.75" x14ac:dyDescent="0.2">
      <c r="B264" s="1"/>
      <c r="H264" s="1"/>
    </row>
    <row r="265" spans="2:8" ht="12.75" x14ac:dyDescent="0.2">
      <c r="B265" s="1"/>
      <c r="H265" s="1"/>
    </row>
    <row r="266" spans="2:8" ht="12.75" x14ac:dyDescent="0.2">
      <c r="B266" s="1"/>
      <c r="H266" s="1"/>
    </row>
    <row r="267" spans="2:8" ht="12.75" x14ac:dyDescent="0.2">
      <c r="B267" s="1"/>
      <c r="H267" s="1"/>
    </row>
    <row r="268" spans="2:8" ht="12.75" x14ac:dyDescent="0.2">
      <c r="B268" s="1"/>
      <c r="H268" s="1"/>
    </row>
    <row r="269" spans="2:8" ht="12.75" x14ac:dyDescent="0.2">
      <c r="B269" s="1"/>
      <c r="H269" s="1"/>
    </row>
    <row r="270" spans="2:8" ht="12.75" x14ac:dyDescent="0.2">
      <c r="B270" s="1"/>
      <c r="H270" s="1"/>
    </row>
    <row r="271" spans="2:8" ht="12.75" x14ac:dyDescent="0.2">
      <c r="B271" s="1"/>
      <c r="H271" s="1"/>
    </row>
    <row r="272" spans="2:8" ht="12.75" x14ac:dyDescent="0.2">
      <c r="B272" s="1"/>
      <c r="H272" s="1"/>
    </row>
    <row r="273" spans="2:8" ht="12.75" x14ac:dyDescent="0.2">
      <c r="B273" s="1"/>
      <c r="H273" s="1"/>
    </row>
    <row r="274" spans="2:8" ht="12.75" x14ac:dyDescent="0.2">
      <c r="B274" s="1"/>
      <c r="H274" s="1"/>
    </row>
    <row r="275" spans="2:8" ht="12.75" x14ac:dyDescent="0.2">
      <c r="B275" s="1"/>
      <c r="H275" s="1"/>
    </row>
    <row r="276" spans="2:8" ht="12.75" x14ac:dyDescent="0.2">
      <c r="B276" s="1"/>
      <c r="H276" s="1"/>
    </row>
    <row r="277" spans="2:8" ht="12.75" x14ac:dyDescent="0.2">
      <c r="B277" s="1"/>
      <c r="H277" s="1"/>
    </row>
    <row r="278" spans="2:8" ht="12.75" x14ac:dyDescent="0.2">
      <c r="B278" s="1"/>
      <c r="H278" s="1"/>
    </row>
    <row r="279" spans="2:8" ht="12.75" x14ac:dyDescent="0.2">
      <c r="B279" s="1"/>
      <c r="H279" s="1"/>
    </row>
    <row r="280" spans="2:8" ht="12.75" x14ac:dyDescent="0.2">
      <c r="B280" s="1"/>
      <c r="H280" s="1"/>
    </row>
    <row r="281" spans="2:8" ht="12.75" x14ac:dyDescent="0.2">
      <c r="B281" s="1"/>
      <c r="H281" s="1"/>
    </row>
    <row r="282" spans="2:8" ht="12.75" x14ac:dyDescent="0.2">
      <c r="B282" s="1"/>
      <c r="H282" s="1"/>
    </row>
    <row r="283" spans="2:8" ht="12.75" x14ac:dyDescent="0.2">
      <c r="B283" s="1"/>
      <c r="H283" s="1"/>
    </row>
    <row r="284" spans="2:8" ht="12.75" x14ac:dyDescent="0.2">
      <c r="B284" s="1"/>
      <c r="H284" s="1"/>
    </row>
    <row r="285" spans="2:8" ht="12.75" x14ac:dyDescent="0.2">
      <c r="B285" s="1"/>
      <c r="H285" s="1"/>
    </row>
    <row r="286" spans="2:8" ht="12.75" x14ac:dyDescent="0.2">
      <c r="B286" s="1"/>
      <c r="H286" s="1"/>
    </row>
    <row r="287" spans="2:8" ht="12.75" x14ac:dyDescent="0.2">
      <c r="B287" s="1"/>
      <c r="H287" s="1"/>
    </row>
    <row r="288" spans="2:8" ht="12.75" x14ac:dyDescent="0.2">
      <c r="B288" s="1"/>
      <c r="H288" s="1"/>
    </row>
    <row r="289" spans="2:8" ht="12.75" x14ac:dyDescent="0.2">
      <c r="B289" s="1"/>
      <c r="H289" s="1"/>
    </row>
    <row r="290" spans="2:8" ht="12.75" x14ac:dyDescent="0.2">
      <c r="B290" s="1"/>
      <c r="H290" s="1"/>
    </row>
    <row r="291" spans="2:8" ht="12.75" x14ac:dyDescent="0.2">
      <c r="B291" s="1"/>
      <c r="H291" s="1"/>
    </row>
    <row r="292" spans="2:8" ht="12.75" x14ac:dyDescent="0.2">
      <c r="B292" s="1"/>
      <c r="H292" s="1"/>
    </row>
    <row r="293" spans="2:8" ht="12.75" x14ac:dyDescent="0.2">
      <c r="B293" s="1"/>
      <c r="H293" s="1"/>
    </row>
    <row r="294" spans="2:8" ht="12.75" x14ac:dyDescent="0.2">
      <c r="B294" s="1"/>
      <c r="H294" s="1"/>
    </row>
    <row r="295" spans="2:8" ht="12.75" x14ac:dyDescent="0.2">
      <c r="B295" s="1"/>
      <c r="H295" s="1"/>
    </row>
    <row r="296" spans="2:8" ht="12.75" x14ac:dyDescent="0.2">
      <c r="B296" s="1"/>
      <c r="H296" s="1"/>
    </row>
    <row r="297" spans="2:8" ht="12.75" x14ac:dyDescent="0.2">
      <c r="B297" s="1"/>
      <c r="H297" s="1"/>
    </row>
    <row r="298" spans="2:8" ht="12.75" x14ac:dyDescent="0.2">
      <c r="B298" s="1"/>
      <c r="H298" s="1"/>
    </row>
    <row r="299" spans="2:8" ht="12.75" x14ac:dyDescent="0.2">
      <c r="B299" s="1"/>
      <c r="H299" s="1"/>
    </row>
    <row r="300" spans="2:8" ht="12.75" x14ac:dyDescent="0.2">
      <c r="B300" s="1"/>
      <c r="H300" s="1"/>
    </row>
    <row r="301" spans="2:8" ht="12.75" x14ac:dyDescent="0.2">
      <c r="B301" s="1"/>
      <c r="H301" s="1"/>
    </row>
    <row r="302" spans="2:8" ht="12.75" x14ac:dyDescent="0.2">
      <c r="B302" s="1"/>
      <c r="H302" s="1"/>
    </row>
    <row r="303" spans="2:8" ht="12.75" x14ac:dyDescent="0.2">
      <c r="B303" s="1"/>
      <c r="H303" s="1"/>
    </row>
    <row r="304" spans="2:8" ht="12.75" x14ac:dyDescent="0.2">
      <c r="B304" s="1"/>
      <c r="H304" s="1"/>
    </row>
    <row r="305" spans="2:8" ht="12.75" x14ac:dyDescent="0.2">
      <c r="B305" s="1"/>
      <c r="H305" s="1"/>
    </row>
    <row r="306" spans="2:8" ht="12.75" x14ac:dyDescent="0.2">
      <c r="B306" s="1"/>
      <c r="H306" s="1"/>
    </row>
    <row r="307" spans="2:8" ht="12.75" x14ac:dyDescent="0.2">
      <c r="B307" s="1"/>
      <c r="H307" s="1"/>
    </row>
    <row r="308" spans="2:8" ht="12.75" x14ac:dyDescent="0.2">
      <c r="B308" s="1"/>
      <c r="H308" s="1"/>
    </row>
    <row r="309" spans="2:8" ht="12.75" x14ac:dyDescent="0.2">
      <c r="B309" s="1"/>
      <c r="H309" s="1"/>
    </row>
    <row r="310" spans="2:8" ht="12.75" x14ac:dyDescent="0.2">
      <c r="B310" s="1"/>
      <c r="H310" s="1"/>
    </row>
    <row r="311" spans="2:8" ht="12.75" x14ac:dyDescent="0.2">
      <c r="B311" s="1"/>
      <c r="H311" s="1"/>
    </row>
    <row r="312" spans="2:8" ht="12.75" x14ac:dyDescent="0.2">
      <c r="B312" s="1"/>
      <c r="H312" s="1"/>
    </row>
    <row r="313" spans="2:8" ht="12.75" x14ac:dyDescent="0.2">
      <c r="B313" s="1"/>
      <c r="H313" s="1"/>
    </row>
    <row r="314" spans="2:8" ht="12.75" x14ac:dyDescent="0.2">
      <c r="B314" s="1"/>
      <c r="H314" s="1"/>
    </row>
    <row r="315" spans="2:8" ht="12.75" x14ac:dyDescent="0.2">
      <c r="B315" s="1"/>
      <c r="H315" s="1"/>
    </row>
    <row r="316" spans="2:8" ht="12.75" x14ac:dyDescent="0.2">
      <c r="B316" s="1"/>
      <c r="H316" s="1"/>
    </row>
    <row r="317" spans="2:8" ht="12.75" x14ac:dyDescent="0.2">
      <c r="B317" s="1"/>
      <c r="H317" s="1"/>
    </row>
    <row r="318" spans="2:8" ht="12.75" x14ac:dyDescent="0.2">
      <c r="B318" s="1"/>
      <c r="H318" s="1"/>
    </row>
    <row r="319" spans="2:8" ht="12.75" x14ac:dyDescent="0.2">
      <c r="B319" s="1"/>
      <c r="H319" s="1"/>
    </row>
    <row r="320" spans="2:8" ht="12.75" x14ac:dyDescent="0.2">
      <c r="B320" s="1"/>
      <c r="H320" s="1"/>
    </row>
    <row r="321" spans="2:8" ht="12.75" x14ac:dyDescent="0.2">
      <c r="B321" s="1"/>
      <c r="H321" s="1"/>
    </row>
    <row r="322" spans="2:8" ht="12.75" x14ac:dyDescent="0.2">
      <c r="B322" s="1"/>
      <c r="H322" s="1"/>
    </row>
    <row r="323" spans="2:8" ht="12.75" x14ac:dyDescent="0.2">
      <c r="B323" s="1"/>
      <c r="H323" s="1"/>
    </row>
    <row r="324" spans="2:8" ht="12.75" x14ac:dyDescent="0.2">
      <c r="B324" s="1"/>
      <c r="H324" s="1"/>
    </row>
    <row r="325" spans="2:8" ht="12.75" x14ac:dyDescent="0.2">
      <c r="B325" s="1"/>
      <c r="H325" s="1"/>
    </row>
    <row r="326" spans="2:8" ht="12.75" x14ac:dyDescent="0.2">
      <c r="B326" s="1"/>
      <c r="H326" s="1"/>
    </row>
    <row r="327" spans="2:8" ht="12.75" x14ac:dyDescent="0.2">
      <c r="B327" s="1"/>
      <c r="H327" s="1"/>
    </row>
    <row r="328" spans="2:8" ht="12.75" x14ac:dyDescent="0.2">
      <c r="B328" s="1"/>
      <c r="H328" s="1"/>
    </row>
    <row r="329" spans="2:8" ht="12.75" x14ac:dyDescent="0.2">
      <c r="B329" s="1"/>
      <c r="H329" s="1"/>
    </row>
    <row r="330" spans="2:8" ht="12.75" x14ac:dyDescent="0.2">
      <c r="B330" s="1"/>
      <c r="H330" s="1"/>
    </row>
    <row r="331" spans="2:8" ht="12.75" x14ac:dyDescent="0.2">
      <c r="B331" s="1"/>
      <c r="H331" s="1"/>
    </row>
    <row r="332" spans="2:8" ht="12.75" x14ac:dyDescent="0.2">
      <c r="B332" s="1"/>
      <c r="H332" s="1"/>
    </row>
    <row r="333" spans="2:8" ht="12.75" x14ac:dyDescent="0.2">
      <c r="B333" s="1"/>
      <c r="H333" s="1"/>
    </row>
    <row r="334" spans="2:8" ht="12.75" x14ac:dyDescent="0.2">
      <c r="B334" s="1"/>
      <c r="H334" s="1"/>
    </row>
    <row r="335" spans="2:8" ht="12.75" x14ac:dyDescent="0.2">
      <c r="B335" s="1"/>
      <c r="H335" s="1"/>
    </row>
    <row r="336" spans="2:8" ht="12.75" x14ac:dyDescent="0.2">
      <c r="B336" s="1"/>
      <c r="H336" s="1"/>
    </row>
    <row r="337" spans="2:8" ht="12.75" x14ac:dyDescent="0.2">
      <c r="B337" s="1"/>
      <c r="H337" s="1"/>
    </row>
    <row r="338" spans="2:8" ht="12.75" x14ac:dyDescent="0.2">
      <c r="B338" s="1"/>
      <c r="H338" s="1"/>
    </row>
    <row r="339" spans="2:8" ht="12.75" x14ac:dyDescent="0.2">
      <c r="B339" s="1"/>
      <c r="H339" s="1"/>
    </row>
    <row r="340" spans="2:8" ht="12.75" x14ac:dyDescent="0.2">
      <c r="B340" s="1"/>
      <c r="H340" s="1"/>
    </row>
    <row r="341" spans="2:8" ht="12.75" x14ac:dyDescent="0.2">
      <c r="B341" s="1"/>
      <c r="H341" s="1"/>
    </row>
    <row r="342" spans="2:8" ht="12.75" x14ac:dyDescent="0.2">
      <c r="B342" s="1"/>
      <c r="H342" s="1"/>
    </row>
    <row r="343" spans="2:8" ht="12.75" x14ac:dyDescent="0.2">
      <c r="B343" s="1"/>
      <c r="H343" s="1"/>
    </row>
    <row r="344" spans="2:8" ht="12.75" x14ac:dyDescent="0.2">
      <c r="B344" s="1"/>
      <c r="H344" s="1"/>
    </row>
    <row r="345" spans="2:8" ht="12.75" x14ac:dyDescent="0.2">
      <c r="B345" s="1"/>
      <c r="H345" s="1"/>
    </row>
    <row r="346" spans="2:8" ht="12.75" x14ac:dyDescent="0.2">
      <c r="B346" s="1"/>
      <c r="H346" s="1"/>
    </row>
    <row r="347" spans="2:8" ht="12.75" x14ac:dyDescent="0.2">
      <c r="B347" s="1"/>
      <c r="H347" s="1"/>
    </row>
    <row r="348" spans="2:8" ht="12.75" x14ac:dyDescent="0.2">
      <c r="B348" s="1"/>
      <c r="H348" s="1"/>
    </row>
    <row r="349" spans="2:8" ht="12.75" x14ac:dyDescent="0.2">
      <c r="B349" s="1"/>
      <c r="H349" s="1"/>
    </row>
    <row r="350" spans="2:8" ht="12.75" x14ac:dyDescent="0.2">
      <c r="B350" s="1"/>
      <c r="H350" s="1"/>
    </row>
    <row r="351" spans="2:8" ht="12.75" x14ac:dyDescent="0.2">
      <c r="B351" s="1"/>
      <c r="H351" s="1"/>
    </row>
    <row r="352" spans="2:8" ht="12.75" x14ac:dyDescent="0.2">
      <c r="B352" s="1"/>
      <c r="H352" s="1"/>
    </row>
    <row r="353" spans="2:8" ht="12.75" x14ac:dyDescent="0.2">
      <c r="B353" s="1"/>
      <c r="H353" s="1"/>
    </row>
    <row r="354" spans="2:8" ht="12.75" x14ac:dyDescent="0.2">
      <c r="B354" s="1"/>
      <c r="H354" s="1"/>
    </row>
    <row r="355" spans="2:8" ht="12.75" x14ac:dyDescent="0.2">
      <c r="B355" s="1"/>
      <c r="H355" s="1"/>
    </row>
    <row r="356" spans="2:8" ht="12.75" x14ac:dyDescent="0.2">
      <c r="B356" s="1"/>
      <c r="H356" s="1"/>
    </row>
    <row r="357" spans="2:8" ht="12.75" x14ac:dyDescent="0.2">
      <c r="B357" s="1"/>
      <c r="H357" s="1"/>
    </row>
    <row r="358" spans="2:8" ht="12.75" x14ac:dyDescent="0.2">
      <c r="B358" s="1"/>
      <c r="H358" s="1"/>
    </row>
    <row r="359" spans="2:8" ht="12.75" x14ac:dyDescent="0.2">
      <c r="B359" s="1"/>
      <c r="H359" s="1"/>
    </row>
    <row r="360" spans="2:8" ht="12.75" x14ac:dyDescent="0.2">
      <c r="B360" s="1"/>
      <c r="H360" s="1"/>
    </row>
    <row r="361" spans="2:8" ht="12.75" x14ac:dyDescent="0.2">
      <c r="B361" s="1"/>
      <c r="H361" s="1"/>
    </row>
    <row r="362" spans="2:8" ht="12.75" x14ac:dyDescent="0.2">
      <c r="B362" s="1"/>
      <c r="H362" s="1"/>
    </row>
    <row r="363" spans="2:8" ht="12.75" x14ac:dyDescent="0.2">
      <c r="B363" s="1"/>
      <c r="H363" s="1"/>
    </row>
    <row r="364" spans="2:8" ht="12.75" x14ac:dyDescent="0.2">
      <c r="B364" s="1"/>
      <c r="H364" s="1"/>
    </row>
    <row r="365" spans="2:8" ht="12.75" x14ac:dyDescent="0.2">
      <c r="B365" s="1"/>
      <c r="H365" s="1"/>
    </row>
    <row r="366" spans="2:8" ht="12.75" x14ac:dyDescent="0.2">
      <c r="B366" s="1"/>
      <c r="H366" s="1"/>
    </row>
    <row r="367" spans="2:8" ht="12.75" x14ac:dyDescent="0.2">
      <c r="B367" s="1"/>
      <c r="H367" s="1"/>
    </row>
    <row r="368" spans="2:8" ht="12.75" x14ac:dyDescent="0.2">
      <c r="B368" s="1"/>
      <c r="H368" s="1"/>
    </row>
    <row r="369" spans="2:8" ht="12.75" x14ac:dyDescent="0.2">
      <c r="B369" s="1"/>
      <c r="H369" s="1"/>
    </row>
    <row r="370" spans="2:8" ht="12.75" x14ac:dyDescent="0.2">
      <c r="B370" s="1"/>
      <c r="H370" s="1"/>
    </row>
    <row r="371" spans="2:8" ht="12.75" x14ac:dyDescent="0.2">
      <c r="B371" s="1"/>
      <c r="H371" s="1"/>
    </row>
    <row r="372" spans="2:8" ht="12.75" x14ac:dyDescent="0.2">
      <c r="B372" s="1"/>
      <c r="H372" s="1"/>
    </row>
    <row r="373" spans="2:8" ht="12.75" x14ac:dyDescent="0.2">
      <c r="B373" s="1"/>
      <c r="H373" s="1"/>
    </row>
    <row r="374" spans="2:8" ht="12.75" x14ac:dyDescent="0.2">
      <c r="B374" s="1"/>
      <c r="H374" s="1"/>
    </row>
    <row r="375" spans="2:8" ht="12.75" x14ac:dyDescent="0.2">
      <c r="B375" s="1"/>
      <c r="H375" s="1"/>
    </row>
    <row r="376" spans="2:8" ht="12.75" x14ac:dyDescent="0.2">
      <c r="B376" s="1"/>
      <c r="H376" s="1"/>
    </row>
    <row r="377" spans="2:8" ht="12.75" x14ac:dyDescent="0.2">
      <c r="B377" s="1"/>
      <c r="H377" s="1"/>
    </row>
    <row r="378" spans="2:8" ht="12.75" x14ac:dyDescent="0.2">
      <c r="B378" s="1"/>
      <c r="H378" s="1"/>
    </row>
    <row r="379" spans="2:8" ht="12.75" x14ac:dyDescent="0.2">
      <c r="B379" s="1"/>
      <c r="H379" s="1"/>
    </row>
    <row r="380" spans="2:8" ht="12.75" x14ac:dyDescent="0.2">
      <c r="B380" s="1"/>
      <c r="H380" s="1"/>
    </row>
    <row r="381" spans="2:8" ht="12.75" x14ac:dyDescent="0.2">
      <c r="B381" s="1"/>
      <c r="H381" s="1"/>
    </row>
    <row r="382" spans="2:8" ht="12.75" x14ac:dyDescent="0.2">
      <c r="B382" s="1"/>
      <c r="H382" s="1"/>
    </row>
    <row r="383" spans="2:8" ht="12.75" x14ac:dyDescent="0.2">
      <c r="B383" s="1"/>
      <c r="H383" s="1"/>
    </row>
    <row r="384" spans="2:8" ht="12.75" x14ac:dyDescent="0.2">
      <c r="B384" s="1"/>
      <c r="H384" s="1"/>
    </row>
    <row r="385" spans="2:8" ht="12.75" x14ac:dyDescent="0.2">
      <c r="B385" s="1"/>
      <c r="H385" s="1"/>
    </row>
    <row r="386" spans="2:8" ht="12.75" x14ac:dyDescent="0.2">
      <c r="B386" s="1"/>
      <c r="H386" s="1"/>
    </row>
    <row r="387" spans="2:8" ht="12.75" x14ac:dyDescent="0.2">
      <c r="B387" s="1"/>
      <c r="H387" s="1"/>
    </row>
    <row r="388" spans="2:8" ht="12.75" x14ac:dyDescent="0.2">
      <c r="B388" s="1"/>
      <c r="H388" s="1"/>
    </row>
    <row r="389" spans="2:8" ht="12.75" x14ac:dyDescent="0.2">
      <c r="B389" s="1"/>
      <c r="H389" s="1"/>
    </row>
    <row r="390" spans="2:8" ht="12.75" x14ac:dyDescent="0.2">
      <c r="B390" s="1"/>
      <c r="H390" s="1"/>
    </row>
    <row r="391" spans="2:8" ht="12.75" x14ac:dyDescent="0.2">
      <c r="B391" s="1"/>
      <c r="H391" s="1"/>
    </row>
    <row r="392" spans="2:8" ht="12.75" x14ac:dyDescent="0.2">
      <c r="B392" s="1"/>
      <c r="H392" s="1"/>
    </row>
    <row r="393" spans="2:8" ht="12.75" x14ac:dyDescent="0.2">
      <c r="B393" s="1"/>
      <c r="H393" s="1"/>
    </row>
    <row r="394" spans="2:8" ht="12.75" x14ac:dyDescent="0.2">
      <c r="B394" s="1"/>
      <c r="H394" s="1"/>
    </row>
    <row r="395" spans="2:8" ht="12.75" x14ac:dyDescent="0.2">
      <c r="B395" s="1"/>
      <c r="H395" s="1"/>
    </row>
    <row r="396" spans="2:8" ht="12.75" x14ac:dyDescent="0.2">
      <c r="B396" s="1"/>
      <c r="H396" s="1"/>
    </row>
    <row r="397" spans="2:8" ht="12.75" x14ac:dyDescent="0.2">
      <c r="B397" s="1"/>
      <c r="H397" s="1"/>
    </row>
    <row r="398" spans="2:8" ht="12.75" x14ac:dyDescent="0.2">
      <c r="B398" s="1"/>
      <c r="H398" s="1"/>
    </row>
    <row r="399" spans="2:8" ht="12.75" x14ac:dyDescent="0.2">
      <c r="B399" s="1"/>
      <c r="H399" s="1"/>
    </row>
    <row r="400" spans="2:8" ht="12.75" x14ac:dyDescent="0.2">
      <c r="B400" s="1"/>
      <c r="H400" s="1"/>
    </row>
    <row r="401" spans="2:8" ht="12.75" x14ac:dyDescent="0.2">
      <c r="B401" s="1"/>
      <c r="H401" s="1"/>
    </row>
    <row r="402" spans="2:8" ht="12.75" x14ac:dyDescent="0.2">
      <c r="B402" s="1"/>
      <c r="H402" s="1"/>
    </row>
    <row r="403" spans="2:8" ht="12.75" x14ac:dyDescent="0.2">
      <c r="B403" s="1"/>
      <c r="H403" s="1"/>
    </row>
    <row r="404" spans="2:8" ht="12.75" x14ac:dyDescent="0.2">
      <c r="B404" s="1"/>
      <c r="H404" s="1"/>
    </row>
    <row r="405" spans="2:8" ht="12.75" x14ac:dyDescent="0.2">
      <c r="B405" s="1"/>
      <c r="H405" s="1"/>
    </row>
    <row r="406" spans="2:8" ht="12.75" x14ac:dyDescent="0.2">
      <c r="B406" s="1"/>
      <c r="H406" s="1"/>
    </row>
    <row r="407" spans="2:8" ht="12.75" x14ac:dyDescent="0.2">
      <c r="B407" s="1"/>
      <c r="H407" s="1"/>
    </row>
    <row r="408" spans="2:8" ht="12.75" x14ac:dyDescent="0.2">
      <c r="B408" s="1"/>
      <c r="H408" s="1"/>
    </row>
    <row r="409" spans="2:8" ht="12.75" x14ac:dyDescent="0.2">
      <c r="B409" s="1"/>
      <c r="H409" s="1"/>
    </row>
    <row r="410" spans="2:8" ht="12.75" x14ac:dyDescent="0.2">
      <c r="B410" s="1"/>
      <c r="H410" s="1"/>
    </row>
    <row r="411" spans="2:8" ht="12.75" x14ac:dyDescent="0.2">
      <c r="B411" s="1"/>
      <c r="H411" s="1"/>
    </row>
    <row r="412" spans="2:8" ht="12.75" x14ac:dyDescent="0.2">
      <c r="B412" s="1"/>
      <c r="H412" s="1"/>
    </row>
    <row r="413" spans="2:8" ht="12.75" x14ac:dyDescent="0.2">
      <c r="B413" s="1"/>
      <c r="H413" s="1"/>
    </row>
    <row r="414" spans="2:8" ht="12.75" x14ac:dyDescent="0.2">
      <c r="B414" s="1"/>
      <c r="H414" s="1"/>
    </row>
    <row r="415" spans="2:8" ht="12.75" x14ac:dyDescent="0.2">
      <c r="B415" s="1"/>
      <c r="H415" s="1"/>
    </row>
    <row r="416" spans="2:8" ht="12.75" x14ac:dyDescent="0.2">
      <c r="B416" s="1"/>
      <c r="H416" s="1"/>
    </row>
    <row r="417" spans="2:8" ht="12.75" x14ac:dyDescent="0.2">
      <c r="B417" s="1"/>
      <c r="H417" s="1"/>
    </row>
    <row r="418" spans="2:8" ht="12.75" x14ac:dyDescent="0.2">
      <c r="B418" s="1"/>
      <c r="H418" s="1"/>
    </row>
    <row r="419" spans="2:8" ht="12.75" x14ac:dyDescent="0.2">
      <c r="B419" s="1"/>
      <c r="H419" s="1"/>
    </row>
    <row r="420" spans="2:8" ht="12.75" x14ac:dyDescent="0.2">
      <c r="B420" s="1"/>
      <c r="H420" s="1"/>
    </row>
    <row r="421" spans="2:8" ht="12.75" x14ac:dyDescent="0.2">
      <c r="B421" s="1"/>
      <c r="H421" s="1"/>
    </row>
    <row r="422" spans="2:8" ht="12.75" x14ac:dyDescent="0.2">
      <c r="B422" s="1"/>
      <c r="H422" s="1"/>
    </row>
    <row r="423" spans="2:8" ht="12.75" x14ac:dyDescent="0.2">
      <c r="B423" s="1"/>
      <c r="H423" s="1"/>
    </row>
    <row r="424" spans="2:8" ht="12.75" x14ac:dyDescent="0.2">
      <c r="B424" s="1"/>
      <c r="H424" s="1"/>
    </row>
    <row r="425" spans="2:8" ht="12.75" x14ac:dyDescent="0.2">
      <c r="B425" s="1"/>
      <c r="H425" s="1"/>
    </row>
    <row r="426" spans="2:8" ht="12.75" x14ac:dyDescent="0.2">
      <c r="B426" s="1"/>
      <c r="H426" s="1"/>
    </row>
    <row r="427" spans="2:8" ht="12.75" x14ac:dyDescent="0.2">
      <c r="B427" s="1"/>
      <c r="H427" s="1"/>
    </row>
    <row r="428" spans="2:8" ht="12.75" x14ac:dyDescent="0.2">
      <c r="B428" s="1"/>
      <c r="H428" s="1"/>
    </row>
    <row r="429" spans="2:8" ht="12.75" x14ac:dyDescent="0.2">
      <c r="B429" s="1"/>
      <c r="H429" s="1"/>
    </row>
    <row r="430" spans="2:8" ht="12.75" x14ac:dyDescent="0.2">
      <c r="B430" s="1"/>
      <c r="H430" s="1"/>
    </row>
    <row r="431" spans="2:8" ht="12.75" x14ac:dyDescent="0.2">
      <c r="B431" s="1"/>
      <c r="H431" s="1"/>
    </row>
    <row r="432" spans="2:8" ht="12.75" x14ac:dyDescent="0.2">
      <c r="B432" s="1"/>
      <c r="H432" s="1"/>
    </row>
    <row r="433" spans="2:8" ht="12.75" x14ac:dyDescent="0.2">
      <c r="B433" s="1"/>
      <c r="H433" s="1"/>
    </row>
    <row r="434" spans="2:8" ht="12.75" x14ac:dyDescent="0.2">
      <c r="B434" s="1"/>
      <c r="H434" s="1"/>
    </row>
    <row r="435" spans="2:8" ht="12.75" x14ac:dyDescent="0.2">
      <c r="B435" s="1"/>
      <c r="H435" s="1"/>
    </row>
    <row r="436" spans="2:8" ht="12.75" x14ac:dyDescent="0.2">
      <c r="B436" s="1"/>
      <c r="H436" s="1"/>
    </row>
    <row r="437" spans="2:8" ht="12.75" x14ac:dyDescent="0.2">
      <c r="B437" s="1"/>
      <c r="H437" s="1"/>
    </row>
    <row r="438" spans="2:8" ht="12.75" x14ac:dyDescent="0.2">
      <c r="B438" s="1"/>
      <c r="H438" s="1"/>
    </row>
    <row r="439" spans="2:8" ht="12.75" x14ac:dyDescent="0.2">
      <c r="B439" s="1"/>
      <c r="H439" s="1"/>
    </row>
    <row r="440" spans="2:8" ht="12.75" x14ac:dyDescent="0.2">
      <c r="B440" s="1"/>
      <c r="H440" s="1"/>
    </row>
    <row r="441" spans="2:8" ht="12.75" x14ac:dyDescent="0.2">
      <c r="B441" s="1"/>
      <c r="H441" s="1"/>
    </row>
    <row r="442" spans="2:8" ht="12.75" x14ac:dyDescent="0.2">
      <c r="B442" s="1"/>
      <c r="H442" s="1"/>
    </row>
    <row r="443" spans="2:8" ht="12.75" x14ac:dyDescent="0.2">
      <c r="B443" s="1"/>
      <c r="H443" s="1"/>
    </row>
    <row r="444" spans="2:8" ht="12.75" x14ac:dyDescent="0.2">
      <c r="B444" s="1"/>
      <c r="H444" s="1"/>
    </row>
    <row r="445" spans="2:8" ht="12.75" x14ac:dyDescent="0.2">
      <c r="B445" s="1"/>
      <c r="H445" s="1"/>
    </row>
    <row r="446" spans="2:8" ht="12.75" x14ac:dyDescent="0.2">
      <c r="B446" s="1"/>
      <c r="H446" s="1"/>
    </row>
    <row r="447" spans="2:8" ht="12.75" x14ac:dyDescent="0.2">
      <c r="B447" s="1"/>
      <c r="H447" s="1"/>
    </row>
    <row r="448" spans="2:8" ht="12.75" x14ac:dyDescent="0.2">
      <c r="B448" s="1"/>
      <c r="H448" s="1"/>
    </row>
    <row r="449" spans="2:8" ht="12.75" x14ac:dyDescent="0.2">
      <c r="B449" s="1"/>
      <c r="H449" s="1"/>
    </row>
    <row r="450" spans="2:8" ht="12.75" x14ac:dyDescent="0.2">
      <c r="B450" s="1"/>
      <c r="H450" s="1"/>
    </row>
    <row r="451" spans="2:8" ht="12.75" x14ac:dyDescent="0.2">
      <c r="B451" s="1"/>
      <c r="H451" s="1"/>
    </row>
    <row r="452" spans="2:8" ht="12.75" x14ac:dyDescent="0.2">
      <c r="B452" s="1"/>
      <c r="H452" s="1"/>
    </row>
    <row r="453" spans="2:8" ht="12.75" x14ac:dyDescent="0.2">
      <c r="B453" s="1"/>
      <c r="H453" s="1"/>
    </row>
    <row r="454" spans="2:8" ht="12.75" x14ac:dyDescent="0.2">
      <c r="B454" s="1"/>
      <c r="H454" s="1"/>
    </row>
    <row r="455" spans="2:8" ht="12.75" x14ac:dyDescent="0.2">
      <c r="B455" s="1"/>
      <c r="H455" s="1"/>
    </row>
    <row r="456" spans="2:8" ht="12.75" x14ac:dyDescent="0.2">
      <c r="B456" s="1"/>
      <c r="H456" s="1"/>
    </row>
    <row r="457" spans="2:8" ht="12.75" x14ac:dyDescent="0.2">
      <c r="B457" s="1"/>
      <c r="H457" s="1"/>
    </row>
    <row r="458" spans="2:8" ht="12.75" x14ac:dyDescent="0.2">
      <c r="B458" s="1"/>
      <c r="H458" s="1"/>
    </row>
    <row r="459" spans="2:8" ht="12.75" x14ac:dyDescent="0.2">
      <c r="B459" s="1"/>
      <c r="H459" s="1"/>
    </row>
    <row r="460" spans="2:8" ht="12.75" x14ac:dyDescent="0.2">
      <c r="B460" s="1"/>
      <c r="H460" s="1"/>
    </row>
    <row r="461" spans="2:8" ht="12.75" x14ac:dyDescent="0.2">
      <c r="B461" s="1"/>
      <c r="H461" s="1"/>
    </row>
    <row r="462" spans="2:8" ht="12.75" x14ac:dyDescent="0.2">
      <c r="B462" s="1"/>
      <c r="H462" s="1"/>
    </row>
    <row r="463" spans="2:8" ht="12.75" x14ac:dyDescent="0.2">
      <c r="B463" s="1"/>
      <c r="H463" s="1"/>
    </row>
    <row r="464" spans="2:8" ht="12.75" x14ac:dyDescent="0.2">
      <c r="B464" s="1"/>
      <c r="H464" s="1"/>
    </row>
    <row r="465" spans="2:8" ht="12.75" x14ac:dyDescent="0.2">
      <c r="B465" s="1"/>
      <c r="H465" s="1"/>
    </row>
    <row r="466" spans="2:8" ht="12.75" x14ac:dyDescent="0.2">
      <c r="B466" s="1"/>
      <c r="H466" s="1"/>
    </row>
    <row r="467" spans="2:8" ht="12.75" x14ac:dyDescent="0.2">
      <c r="B467" s="1"/>
      <c r="H467" s="1"/>
    </row>
    <row r="468" spans="2:8" ht="12.75" x14ac:dyDescent="0.2">
      <c r="B468" s="1"/>
      <c r="H468" s="1"/>
    </row>
    <row r="469" spans="2:8" ht="12.75" x14ac:dyDescent="0.2">
      <c r="B469" s="1"/>
      <c r="H469" s="1"/>
    </row>
    <row r="470" spans="2:8" ht="12.75" x14ac:dyDescent="0.2">
      <c r="B470" s="1"/>
      <c r="H470" s="1"/>
    </row>
    <row r="471" spans="2:8" ht="12.75" x14ac:dyDescent="0.2">
      <c r="B471" s="1"/>
      <c r="H471" s="1"/>
    </row>
    <row r="472" spans="2:8" ht="12.75" x14ac:dyDescent="0.2">
      <c r="B472" s="1"/>
      <c r="H472" s="1"/>
    </row>
    <row r="473" spans="2:8" ht="12.75" x14ac:dyDescent="0.2">
      <c r="B473" s="1"/>
      <c r="H473" s="1"/>
    </row>
    <row r="474" spans="2:8" ht="12.75" x14ac:dyDescent="0.2">
      <c r="B474" s="1"/>
      <c r="H474" s="1"/>
    </row>
    <row r="475" spans="2:8" ht="12.75" x14ac:dyDescent="0.2">
      <c r="B475" s="1"/>
      <c r="H475" s="1"/>
    </row>
    <row r="476" spans="2:8" ht="12.75" x14ac:dyDescent="0.2">
      <c r="B476" s="1"/>
      <c r="H476" s="1"/>
    </row>
    <row r="477" spans="2:8" ht="12.75" x14ac:dyDescent="0.2">
      <c r="B477" s="1"/>
      <c r="H477" s="1"/>
    </row>
    <row r="478" spans="2:8" ht="12.75" x14ac:dyDescent="0.2">
      <c r="B478" s="1"/>
      <c r="H478" s="1"/>
    </row>
    <row r="479" spans="2:8" ht="12.75" x14ac:dyDescent="0.2">
      <c r="B479" s="1"/>
      <c r="H479" s="1"/>
    </row>
    <row r="480" spans="2:8" ht="12.75" x14ac:dyDescent="0.2">
      <c r="B480" s="1"/>
      <c r="H480" s="1"/>
    </row>
    <row r="481" spans="2:8" ht="12.75" x14ac:dyDescent="0.2">
      <c r="B481" s="1"/>
      <c r="H481" s="1"/>
    </row>
    <row r="482" spans="2:8" ht="12.75" x14ac:dyDescent="0.2">
      <c r="B482" s="1"/>
      <c r="H482" s="1"/>
    </row>
    <row r="483" spans="2:8" ht="12.75" x14ac:dyDescent="0.2">
      <c r="B483" s="1"/>
      <c r="H483" s="1"/>
    </row>
    <row r="484" spans="2:8" ht="12.75" x14ac:dyDescent="0.2">
      <c r="B484" s="1"/>
      <c r="H484" s="1"/>
    </row>
    <row r="485" spans="2:8" ht="12.75" x14ac:dyDescent="0.2">
      <c r="B485" s="1"/>
      <c r="H485" s="1"/>
    </row>
    <row r="486" spans="2:8" ht="12.75" x14ac:dyDescent="0.2">
      <c r="B486" s="1"/>
      <c r="H486" s="1"/>
    </row>
    <row r="487" spans="2:8" ht="12.75" x14ac:dyDescent="0.2">
      <c r="B487" s="1"/>
      <c r="H487" s="1"/>
    </row>
    <row r="488" spans="2:8" ht="12.75" x14ac:dyDescent="0.2">
      <c r="B488" s="1"/>
      <c r="H488" s="1"/>
    </row>
    <row r="489" spans="2:8" ht="12.75" x14ac:dyDescent="0.2">
      <c r="B489" s="1"/>
      <c r="H489" s="1"/>
    </row>
    <row r="490" spans="2:8" ht="12.75" x14ac:dyDescent="0.2">
      <c r="B490" s="1"/>
      <c r="H490" s="1"/>
    </row>
    <row r="491" spans="2:8" ht="12.75" x14ac:dyDescent="0.2">
      <c r="B491" s="1"/>
      <c r="H491" s="1"/>
    </row>
    <row r="492" spans="2:8" ht="12.75" x14ac:dyDescent="0.2">
      <c r="B492" s="1"/>
      <c r="H492" s="1"/>
    </row>
    <row r="493" spans="2:8" ht="12.75" x14ac:dyDescent="0.2">
      <c r="B493" s="1"/>
      <c r="H493" s="1"/>
    </row>
    <row r="494" spans="2:8" ht="12.75" x14ac:dyDescent="0.2">
      <c r="B494" s="1"/>
      <c r="H494" s="1"/>
    </row>
    <row r="495" spans="2:8" ht="12.75" x14ac:dyDescent="0.2">
      <c r="B495" s="1"/>
      <c r="H495" s="1"/>
    </row>
    <row r="496" spans="2:8" ht="12.75" x14ac:dyDescent="0.2">
      <c r="B496" s="1"/>
      <c r="H496" s="1"/>
    </row>
    <row r="497" spans="2:8" ht="12.75" x14ac:dyDescent="0.2">
      <c r="B497" s="1"/>
      <c r="H497" s="1"/>
    </row>
    <row r="498" spans="2:8" ht="12.75" x14ac:dyDescent="0.2">
      <c r="B498" s="1"/>
      <c r="H498" s="1"/>
    </row>
    <row r="499" spans="2:8" ht="12.75" x14ac:dyDescent="0.2">
      <c r="B499" s="1"/>
      <c r="H499" s="1"/>
    </row>
    <row r="500" spans="2:8" ht="12.75" x14ac:dyDescent="0.2">
      <c r="B500" s="1"/>
      <c r="H500" s="1"/>
    </row>
    <row r="501" spans="2:8" ht="12.75" x14ac:dyDescent="0.2">
      <c r="B501" s="1"/>
      <c r="H501" s="1"/>
    </row>
    <row r="502" spans="2:8" ht="12.75" x14ac:dyDescent="0.2">
      <c r="B502" s="1"/>
      <c r="H502" s="1"/>
    </row>
    <row r="503" spans="2:8" ht="12.75" x14ac:dyDescent="0.2">
      <c r="B503" s="1"/>
      <c r="H503" s="1"/>
    </row>
    <row r="504" spans="2:8" ht="12.75" x14ac:dyDescent="0.2">
      <c r="B504" s="1"/>
      <c r="H504" s="1"/>
    </row>
    <row r="505" spans="2:8" ht="12.75" x14ac:dyDescent="0.2">
      <c r="B505" s="1"/>
      <c r="H505" s="1"/>
    </row>
    <row r="506" spans="2:8" ht="12.75" x14ac:dyDescent="0.2">
      <c r="B506" s="1"/>
      <c r="H506" s="1"/>
    </row>
    <row r="507" spans="2:8" ht="12.75" x14ac:dyDescent="0.2">
      <c r="B507" s="1"/>
      <c r="H507" s="1"/>
    </row>
    <row r="508" spans="2:8" ht="12.75" x14ac:dyDescent="0.2">
      <c r="B508" s="1"/>
      <c r="H508" s="1"/>
    </row>
    <row r="509" spans="2:8" ht="12.75" x14ac:dyDescent="0.2">
      <c r="B509" s="1"/>
      <c r="H509" s="1"/>
    </row>
    <row r="510" spans="2:8" ht="12.75" x14ac:dyDescent="0.2">
      <c r="B510" s="1"/>
      <c r="H510" s="1"/>
    </row>
    <row r="511" spans="2:8" ht="12.75" x14ac:dyDescent="0.2">
      <c r="B511" s="1"/>
      <c r="H511" s="1"/>
    </row>
    <row r="512" spans="2:8" ht="12.75" x14ac:dyDescent="0.2">
      <c r="B512" s="1"/>
      <c r="H512" s="1"/>
    </row>
    <row r="513" spans="2:8" ht="12.75" x14ac:dyDescent="0.2">
      <c r="B513" s="1"/>
      <c r="H513" s="1"/>
    </row>
    <row r="514" spans="2:8" ht="12.75" x14ac:dyDescent="0.2">
      <c r="B514" s="1"/>
      <c r="H514" s="1"/>
    </row>
    <row r="515" spans="2:8" ht="12.75" x14ac:dyDescent="0.2">
      <c r="B515" s="1"/>
      <c r="H515" s="1"/>
    </row>
    <row r="516" spans="2:8" ht="12.75" x14ac:dyDescent="0.2">
      <c r="B516" s="1"/>
      <c r="H516" s="1"/>
    </row>
    <row r="517" spans="2:8" ht="12.75" x14ac:dyDescent="0.2">
      <c r="B517" s="1"/>
      <c r="H517" s="1"/>
    </row>
    <row r="518" spans="2:8" ht="12.75" x14ac:dyDescent="0.2">
      <c r="B518" s="1"/>
      <c r="H518" s="1"/>
    </row>
    <row r="519" spans="2:8" ht="12.75" x14ac:dyDescent="0.2">
      <c r="B519" s="1"/>
      <c r="H519" s="1"/>
    </row>
    <row r="520" spans="2:8" ht="12.75" x14ac:dyDescent="0.2">
      <c r="B520" s="1"/>
      <c r="H520" s="1"/>
    </row>
    <row r="521" spans="2:8" ht="12.75" x14ac:dyDescent="0.2">
      <c r="B521" s="1"/>
      <c r="H521" s="1"/>
    </row>
    <row r="522" spans="2:8" ht="12.75" x14ac:dyDescent="0.2">
      <c r="B522" s="1"/>
      <c r="H522" s="1"/>
    </row>
    <row r="523" spans="2:8" ht="12.75" x14ac:dyDescent="0.2">
      <c r="B523" s="1"/>
      <c r="H523" s="1"/>
    </row>
    <row r="524" spans="2:8" ht="12.75" x14ac:dyDescent="0.2">
      <c r="B524" s="1"/>
      <c r="H524" s="1"/>
    </row>
    <row r="525" spans="2:8" ht="12.75" x14ac:dyDescent="0.2">
      <c r="B525" s="1"/>
      <c r="H525" s="1"/>
    </row>
    <row r="526" spans="2:8" ht="12.75" x14ac:dyDescent="0.2">
      <c r="B526" s="1"/>
      <c r="H526" s="1"/>
    </row>
    <row r="527" spans="2:8" ht="12.75" x14ac:dyDescent="0.2">
      <c r="B527" s="1"/>
      <c r="H527" s="1"/>
    </row>
    <row r="528" spans="2:8" ht="12.75" x14ac:dyDescent="0.2">
      <c r="B528" s="1"/>
      <c r="H528" s="1"/>
    </row>
    <row r="529" spans="2:8" ht="12.75" x14ac:dyDescent="0.2">
      <c r="B529" s="1"/>
      <c r="H529" s="1"/>
    </row>
    <row r="530" spans="2:8" ht="12.75" x14ac:dyDescent="0.2">
      <c r="B530" s="1"/>
      <c r="H530" s="1"/>
    </row>
    <row r="531" spans="2:8" ht="12.75" x14ac:dyDescent="0.2">
      <c r="B531" s="1"/>
      <c r="H531" s="1"/>
    </row>
    <row r="532" spans="2:8" ht="12.75" x14ac:dyDescent="0.2">
      <c r="B532" s="1"/>
      <c r="H532" s="1"/>
    </row>
    <row r="533" spans="2:8" ht="12.75" x14ac:dyDescent="0.2">
      <c r="B533" s="1"/>
      <c r="H533" s="1"/>
    </row>
    <row r="534" spans="2:8" ht="12.75" x14ac:dyDescent="0.2">
      <c r="B534" s="1"/>
      <c r="H534" s="1"/>
    </row>
    <row r="535" spans="2:8" ht="12.75" x14ac:dyDescent="0.2">
      <c r="B535" s="1"/>
      <c r="H535" s="1"/>
    </row>
    <row r="536" spans="2:8" ht="12.75" x14ac:dyDescent="0.2">
      <c r="B536" s="1"/>
      <c r="H536" s="1"/>
    </row>
    <row r="537" spans="2:8" ht="12.75" x14ac:dyDescent="0.2">
      <c r="B537" s="1"/>
      <c r="H537" s="1"/>
    </row>
    <row r="538" spans="2:8" ht="12.75" x14ac:dyDescent="0.2">
      <c r="B538" s="1"/>
      <c r="H538" s="1"/>
    </row>
    <row r="539" spans="2:8" ht="12.75" x14ac:dyDescent="0.2">
      <c r="B539" s="1"/>
      <c r="H539" s="1"/>
    </row>
    <row r="540" spans="2:8" ht="12.75" x14ac:dyDescent="0.2">
      <c r="B540" s="1"/>
      <c r="H540" s="1"/>
    </row>
    <row r="541" spans="2:8" ht="12.75" x14ac:dyDescent="0.2">
      <c r="B541" s="1"/>
      <c r="H541" s="1"/>
    </row>
    <row r="542" spans="2:8" ht="12.75" x14ac:dyDescent="0.2">
      <c r="B542" s="1"/>
      <c r="H542" s="1"/>
    </row>
    <row r="543" spans="2:8" ht="12.75" x14ac:dyDescent="0.2">
      <c r="B543" s="1"/>
      <c r="H543" s="1"/>
    </row>
    <row r="544" spans="2:8" ht="12.75" x14ac:dyDescent="0.2">
      <c r="B544" s="1"/>
      <c r="H544" s="1"/>
    </row>
    <row r="545" spans="2:8" ht="12.75" x14ac:dyDescent="0.2">
      <c r="B545" s="1"/>
      <c r="H545" s="1"/>
    </row>
    <row r="546" spans="2:8" ht="12.75" x14ac:dyDescent="0.2">
      <c r="B546" s="1"/>
      <c r="H546" s="1"/>
    </row>
    <row r="547" spans="2:8" ht="12.75" x14ac:dyDescent="0.2">
      <c r="B547" s="1"/>
      <c r="H547" s="1"/>
    </row>
    <row r="548" spans="2:8" ht="12.75" x14ac:dyDescent="0.2">
      <c r="B548" s="1"/>
      <c r="H548" s="1"/>
    </row>
    <row r="549" spans="2:8" ht="12.75" x14ac:dyDescent="0.2">
      <c r="B549" s="1"/>
      <c r="H549" s="1"/>
    </row>
    <row r="550" spans="2:8" ht="12.75" x14ac:dyDescent="0.2">
      <c r="B550" s="1"/>
      <c r="H550" s="1"/>
    </row>
    <row r="551" spans="2:8" ht="12.75" x14ac:dyDescent="0.2">
      <c r="B551" s="1"/>
      <c r="H551" s="1"/>
    </row>
    <row r="552" spans="2:8" ht="12.75" x14ac:dyDescent="0.2">
      <c r="B552" s="1"/>
      <c r="H552" s="1"/>
    </row>
    <row r="553" spans="2:8" ht="12.75" x14ac:dyDescent="0.2">
      <c r="B553" s="1"/>
      <c r="H553" s="1"/>
    </row>
    <row r="554" spans="2:8" ht="12.75" x14ac:dyDescent="0.2">
      <c r="B554" s="1"/>
      <c r="H554" s="1"/>
    </row>
    <row r="555" spans="2:8" ht="12.75" x14ac:dyDescent="0.2">
      <c r="B555" s="1"/>
      <c r="H555" s="1"/>
    </row>
    <row r="556" spans="2:8" ht="12.75" x14ac:dyDescent="0.2">
      <c r="B556" s="1"/>
      <c r="H556" s="1"/>
    </row>
    <row r="557" spans="2:8" ht="12.75" x14ac:dyDescent="0.2">
      <c r="B557" s="1"/>
      <c r="H557" s="1"/>
    </row>
    <row r="558" spans="2:8" ht="12.75" x14ac:dyDescent="0.2">
      <c r="B558" s="1"/>
      <c r="H558" s="1"/>
    </row>
    <row r="559" spans="2:8" ht="12.75" x14ac:dyDescent="0.2">
      <c r="B559" s="1"/>
      <c r="H559" s="1"/>
    </row>
    <row r="560" spans="2:8" ht="12.75" x14ac:dyDescent="0.2">
      <c r="B560" s="1"/>
      <c r="H560" s="1"/>
    </row>
    <row r="561" spans="2:8" ht="12.75" x14ac:dyDescent="0.2">
      <c r="B561" s="1"/>
      <c r="H561" s="1"/>
    </row>
    <row r="562" spans="2:8" ht="12.75" x14ac:dyDescent="0.2">
      <c r="B562" s="1"/>
      <c r="H562" s="1"/>
    </row>
    <row r="563" spans="2:8" ht="12.75" x14ac:dyDescent="0.2">
      <c r="B563" s="1"/>
      <c r="H563" s="1"/>
    </row>
    <row r="564" spans="2:8" ht="12.75" x14ac:dyDescent="0.2">
      <c r="B564" s="1"/>
      <c r="H564" s="1"/>
    </row>
    <row r="565" spans="2:8" ht="12.75" x14ac:dyDescent="0.2">
      <c r="B565" s="1"/>
      <c r="H565" s="1"/>
    </row>
    <row r="566" spans="2:8" ht="12.75" x14ac:dyDescent="0.2">
      <c r="B566" s="1"/>
      <c r="H566" s="1"/>
    </row>
    <row r="567" spans="2:8" ht="12.75" x14ac:dyDescent="0.2">
      <c r="B567" s="1"/>
      <c r="H567" s="1"/>
    </row>
    <row r="568" spans="2:8" ht="12.75" x14ac:dyDescent="0.2">
      <c r="B568" s="1"/>
      <c r="H568" s="1"/>
    </row>
    <row r="569" spans="2:8" ht="12.75" x14ac:dyDescent="0.2">
      <c r="B569" s="1"/>
      <c r="H569" s="1"/>
    </row>
    <row r="570" spans="2:8" ht="12.75" x14ac:dyDescent="0.2">
      <c r="B570" s="1"/>
      <c r="H570" s="1"/>
    </row>
    <row r="571" spans="2:8" ht="12.75" x14ac:dyDescent="0.2">
      <c r="B571" s="1"/>
      <c r="H571" s="1"/>
    </row>
    <row r="572" spans="2:8" ht="12.75" x14ac:dyDescent="0.2">
      <c r="B572" s="1"/>
      <c r="H572" s="1"/>
    </row>
    <row r="573" spans="2:8" ht="12.75" x14ac:dyDescent="0.2">
      <c r="B573" s="1"/>
      <c r="H573" s="1"/>
    </row>
    <row r="574" spans="2:8" ht="12.75" x14ac:dyDescent="0.2">
      <c r="B574" s="1"/>
      <c r="H574" s="1"/>
    </row>
    <row r="575" spans="2:8" ht="12.75" x14ac:dyDescent="0.2">
      <c r="B575" s="1"/>
      <c r="H575" s="1"/>
    </row>
    <row r="576" spans="2:8" ht="12.75" x14ac:dyDescent="0.2">
      <c r="B576" s="1"/>
      <c r="H576" s="1"/>
    </row>
    <row r="577" spans="2:8" ht="12.75" x14ac:dyDescent="0.2">
      <c r="B577" s="1"/>
      <c r="H577" s="1"/>
    </row>
    <row r="578" spans="2:8" ht="12.75" x14ac:dyDescent="0.2">
      <c r="B578" s="1"/>
      <c r="H578" s="1"/>
    </row>
    <row r="579" spans="2:8" ht="12.75" x14ac:dyDescent="0.2">
      <c r="B579" s="1"/>
      <c r="H579" s="1"/>
    </row>
    <row r="580" spans="2:8" ht="12.75" x14ac:dyDescent="0.2">
      <c r="B580" s="1"/>
      <c r="H580" s="1"/>
    </row>
    <row r="581" spans="2:8" ht="12.75" x14ac:dyDescent="0.2">
      <c r="B581" s="1"/>
      <c r="H581" s="1"/>
    </row>
    <row r="582" spans="2:8" ht="12.75" x14ac:dyDescent="0.2">
      <c r="B582" s="1"/>
      <c r="H582" s="1"/>
    </row>
    <row r="583" spans="2:8" ht="12.75" x14ac:dyDescent="0.2">
      <c r="B583" s="1"/>
      <c r="H583" s="1"/>
    </row>
    <row r="584" spans="2:8" ht="12.75" x14ac:dyDescent="0.2">
      <c r="B584" s="1"/>
      <c r="H584" s="1"/>
    </row>
    <row r="585" spans="2:8" ht="12.75" x14ac:dyDescent="0.2">
      <c r="B585" s="1"/>
      <c r="H585" s="1"/>
    </row>
    <row r="586" spans="2:8" ht="12.75" x14ac:dyDescent="0.2">
      <c r="B586" s="1"/>
      <c r="H586" s="1"/>
    </row>
    <row r="587" spans="2:8" ht="12.75" x14ac:dyDescent="0.2">
      <c r="B587" s="1"/>
      <c r="H587" s="1"/>
    </row>
    <row r="588" spans="2:8" ht="12.75" x14ac:dyDescent="0.2">
      <c r="B588" s="1"/>
      <c r="H588" s="1"/>
    </row>
    <row r="589" spans="2:8" ht="12.75" x14ac:dyDescent="0.2">
      <c r="B589" s="1"/>
      <c r="H589" s="1"/>
    </row>
    <row r="590" spans="2:8" ht="12.75" x14ac:dyDescent="0.2">
      <c r="B590" s="1"/>
      <c r="H590" s="1"/>
    </row>
    <row r="591" spans="2:8" ht="12.75" x14ac:dyDescent="0.2">
      <c r="B591" s="1"/>
      <c r="H591" s="1"/>
    </row>
    <row r="592" spans="2:8" ht="12.75" x14ac:dyDescent="0.2">
      <c r="B592" s="1"/>
      <c r="H592" s="1"/>
    </row>
    <row r="593" spans="2:8" ht="12.75" x14ac:dyDescent="0.2">
      <c r="B593" s="1"/>
      <c r="H593" s="1"/>
    </row>
    <row r="594" spans="2:8" ht="12.75" x14ac:dyDescent="0.2">
      <c r="B594" s="1"/>
      <c r="H594" s="1"/>
    </row>
    <row r="595" spans="2:8" ht="12.75" x14ac:dyDescent="0.2">
      <c r="B595" s="1"/>
      <c r="H595" s="1"/>
    </row>
    <row r="596" spans="2:8" ht="12.75" x14ac:dyDescent="0.2">
      <c r="B596" s="1"/>
      <c r="H596" s="1"/>
    </row>
    <row r="597" spans="2:8" ht="12.75" x14ac:dyDescent="0.2">
      <c r="B597" s="1"/>
      <c r="H597" s="1"/>
    </row>
    <row r="598" spans="2:8" ht="12.75" x14ac:dyDescent="0.2">
      <c r="B598" s="1"/>
      <c r="H598" s="1"/>
    </row>
    <row r="599" spans="2:8" ht="12.75" x14ac:dyDescent="0.2">
      <c r="B599" s="1"/>
      <c r="H599" s="1"/>
    </row>
    <row r="600" spans="2:8" ht="12.75" x14ac:dyDescent="0.2">
      <c r="B600" s="1"/>
      <c r="H600" s="1"/>
    </row>
    <row r="601" spans="2:8" ht="12.75" x14ac:dyDescent="0.2">
      <c r="B601" s="1"/>
      <c r="H601" s="1"/>
    </row>
    <row r="602" spans="2:8" ht="12.75" x14ac:dyDescent="0.2">
      <c r="B602" s="1"/>
      <c r="H602" s="1"/>
    </row>
    <row r="603" spans="2:8" ht="12.75" x14ac:dyDescent="0.2">
      <c r="B603" s="1"/>
      <c r="H603" s="1"/>
    </row>
    <row r="604" spans="2:8" ht="12.75" x14ac:dyDescent="0.2">
      <c r="B604" s="1"/>
      <c r="H604" s="1"/>
    </row>
    <row r="605" spans="2:8" ht="12.75" x14ac:dyDescent="0.2">
      <c r="B605" s="1"/>
      <c r="H605" s="1"/>
    </row>
    <row r="606" spans="2:8" ht="12.75" x14ac:dyDescent="0.2">
      <c r="B606" s="1"/>
      <c r="H606" s="1"/>
    </row>
    <row r="607" spans="2:8" ht="12.75" x14ac:dyDescent="0.2">
      <c r="B607" s="1"/>
      <c r="H607" s="1"/>
    </row>
    <row r="608" spans="2:8" ht="12.75" x14ac:dyDescent="0.2">
      <c r="B608" s="1"/>
      <c r="H608" s="1"/>
    </row>
    <row r="609" spans="2:8" ht="12.75" x14ac:dyDescent="0.2">
      <c r="B609" s="1"/>
      <c r="H609" s="1"/>
    </row>
    <row r="610" spans="2:8" ht="12.75" x14ac:dyDescent="0.2">
      <c r="B610" s="1"/>
      <c r="H610" s="1"/>
    </row>
    <row r="611" spans="2:8" ht="12.75" x14ac:dyDescent="0.2">
      <c r="B611" s="1"/>
      <c r="H611" s="1"/>
    </row>
    <row r="612" spans="2:8" ht="12.75" x14ac:dyDescent="0.2">
      <c r="B612" s="1"/>
      <c r="H612" s="1"/>
    </row>
    <row r="613" spans="2:8" ht="12.75" x14ac:dyDescent="0.2">
      <c r="B613" s="1"/>
      <c r="H613" s="1"/>
    </row>
    <row r="614" spans="2:8" ht="12.75" x14ac:dyDescent="0.2">
      <c r="B614" s="1"/>
      <c r="H614" s="1"/>
    </row>
    <row r="615" spans="2:8" ht="12.75" x14ac:dyDescent="0.2">
      <c r="B615" s="1"/>
      <c r="H615" s="1"/>
    </row>
    <row r="616" spans="2:8" ht="12.75" x14ac:dyDescent="0.2">
      <c r="B616" s="1"/>
      <c r="H616" s="1"/>
    </row>
    <row r="617" spans="2:8" ht="12.75" x14ac:dyDescent="0.2">
      <c r="B617" s="1"/>
      <c r="H617" s="1"/>
    </row>
    <row r="618" spans="2:8" ht="12.75" x14ac:dyDescent="0.2">
      <c r="B618" s="1"/>
      <c r="H618" s="1"/>
    </row>
    <row r="619" spans="2:8" ht="12.75" x14ac:dyDescent="0.2">
      <c r="B619" s="1"/>
      <c r="H619" s="1"/>
    </row>
    <row r="620" spans="2:8" ht="12.75" x14ac:dyDescent="0.2">
      <c r="B620" s="1"/>
      <c r="H620" s="1"/>
    </row>
    <row r="621" spans="2:8" ht="12.75" x14ac:dyDescent="0.2">
      <c r="B621" s="1"/>
      <c r="H621" s="1"/>
    </row>
    <row r="622" spans="2:8" ht="12.75" x14ac:dyDescent="0.2">
      <c r="B622" s="1"/>
      <c r="H622" s="1"/>
    </row>
    <row r="623" spans="2:8" ht="12.75" x14ac:dyDescent="0.2">
      <c r="B623" s="1"/>
      <c r="H623" s="1"/>
    </row>
    <row r="624" spans="2:8" ht="12.75" x14ac:dyDescent="0.2">
      <c r="B624" s="1"/>
      <c r="H624" s="1"/>
    </row>
    <row r="625" spans="2:8" ht="12.75" x14ac:dyDescent="0.2">
      <c r="B625" s="1"/>
      <c r="H625" s="1"/>
    </row>
    <row r="626" spans="2:8" ht="12.75" x14ac:dyDescent="0.2">
      <c r="B626" s="1"/>
      <c r="H626" s="1"/>
    </row>
    <row r="627" spans="2:8" ht="12.75" x14ac:dyDescent="0.2">
      <c r="B627" s="1"/>
      <c r="H627" s="1"/>
    </row>
    <row r="628" spans="2:8" ht="12.75" x14ac:dyDescent="0.2">
      <c r="B628" s="1"/>
      <c r="H628" s="1"/>
    </row>
    <row r="629" spans="2:8" ht="12.75" x14ac:dyDescent="0.2">
      <c r="B629" s="1"/>
      <c r="H629" s="1"/>
    </row>
    <row r="630" spans="2:8" ht="12.75" x14ac:dyDescent="0.2">
      <c r="B630" s="1"/>
      <c r="H630" s="1"/>
    </row>
    <row r="631" spans="2:8" ht="12.75" x14ac:dyDescent="0.2">
      <c r="B631" s="1"/>
      <c r="H631" s="1"/>
    </row>
    <row r="632" spans="2:8" ht="12.75" x14ac:dyDescent="0.2">
      <c r="B632" s="1"/>
      <c r="H632" s="1"/>
    </row>
    <row r="633" spans="2:8" ht="12.75" x14ac:dyDescent="0.2">
      <c r="B633" s="1"/>
      <c r="H633" s="1"/>
    </row>
    <row r="634" spans="2:8" ht="12.75" x14ac:dyDescent="0.2">
      <c r="B634" s="1"/>
      <c r="H634" s="1"/>
    </row>
    <row r="635" spans="2:8" ht="12.75" x14ac:dyDescent="0.2">
      <c r="B635" s="1"/>
      <c r="H635" s="1"/>
    </row>
    <row r="636" spans="2:8" ht="12.75" x14ac:dyDescent="0.2">
      <c r="B636" s="1"/>
      <c r="H636" s="1"/>
    </row>
    <row r="637" spans="2:8" ht="12.75" x14ac:dyDescent="0.2">
      <c r="B637" s="1"/>
      <c r="H637" s="1"/>
    </row>
    <row r="638" spans="2:8" ht="12.75" x14ac:dyDescent="0.2">
      <c r="B638" s="1"/>
      <c r="H638" s="1"/>
    </row>
    <row r="639" spans="2:8" ht="12.75" x14ac:dyDescent="0.2">
      <c r="B639" s="1"/>
      <c r="H639" s="1"/>
    </row>
    <row r="640" spans="2:8" ht="12.75" x14ac:dyDescent="0.2">
      <c r="B640" s="1"/>
      <c r="H640" s="1"/>
    </row>
    <row r="641" spans="2:8" ht="12.75" x14ac:dyDescent="0.2">
      <c r="B641" s="1"/>
      <c r="H641" s="1"/>
    </row>
    <row r="642" spans="2:8" ht="12.75" x14ac:dyDescent="0.2">
      <c r="B642" s="1"/>
      <c r="H642" s="1"/>
    </row>
    <row r="643" spans="2:8" ht="12.75" x14ac:dyDescent="0.2">
      <c r="B643" s="1"/>
      <c r="H643" s="1"/>
    </row>
    <row r="644" spans="2:8" ht="12.75" x14ac:dyDescent="0.2">
      <c r="B644" s="1"/>
      <c r="H644" s="1"/>
    </row>
    <row r="645" spans="2:8" ht="12.75" x14ac:dyDescent="0.2">
      <c r="B645" s="1"/>
      <c r="H645" s="1"/>
    </row>
    <row r="646" spans="2:8" ht="12.75" x14ac:dyDescent="0.2">
      <c r="B646" s="1"/>
      <c r="H646" s="1"/>
    </row>
    <row r="647" spans="2:8" ht="12.75" x14ac:dyDescent="0.2">
      <c r="B647" s="1"/>
      <c r="H647" s="1"/>
    </row>
    <row r="648" spans="2:8" ht="12.75" x14ac:dyDescent="0.2">
      <c r="B648" s="1"/>
      <c r="H648" s="1"/>
    </row>
    <row r="649" spans="2:8" ht="12.75" x14ac:dyDescent="0.2">
      <c r="B649" s="1"/>
      <c r="H649" s="1"/>
    </row>
    <row r="650" spans="2:8" ht="12.75" x14ac:dyDescent="0.2">
      <c r="B650" s="1"/>
      <c r="H650" s="1"/>
    </row>
    <row r="651" spans="2:8" ht="12.75" x14ac:dyDescent="0.2">
      <c r="B651" s="1"/>
      <c r="H651" s="1"/>
    </row>
    <row r="652" spans="2:8" ht="12.75" x14ac:dyDescent="0.2">
      <c r="B652" s="1"/>
      <c r="H652" s="1"/>
    </row>
    <row r="653" spans="2:8" ht="12.75" x14ac:dyDescent="0.2">
      <c r="B653" s="1"/>
      <c r="H653" s="1"/>
    </row>
    <row r="654" spans="2:8" ht="12.75" x14ac:dyDescent="0.2">
      <c r="B654" s="1"/>
      <c r="H654" s="1"/>
    </row>
    <row r="655" spans="2:8" ht="12.75" x14ac:dyDescent="0.2">
      <c r="B655" s="1"/>
      <c r="H655" s="1"/>
    </row>
    <row r="656" spans="2:8" ht="12.75" x14ac:dyDescent="0.2">
      <c r="B656" s="1"/>
      <c r="H656" s="1"/>
    </row>
    <row r="657" spans="2:8" ht="12.75" x14ac:dyDescent="0.2">
      <c r="B657" s="1"/>
      <c r="H657" s="1"/>
    </row>
    <row r="658" spans="2:8" ht="12.75" x14ac:dyDescent="0.2">
      <c r="B658" s="1"/>
      <c r="H658" s="1"/>
    </row>
    <row r="659" spans="2:8" ht="12.75" x14ac:dyDescent="0.2">
      <c r="B659" s="1"/>
      <c r="H659" s="1"/>
    </row>
    <row r="660" spans="2:8" ht="12.75" x14ac:dyDescent="0.2">
      <c r="B660" s="1"/>
      <c r="H660" s="1"/>
    </row>
    <row r="661" spans="2:8" ht="12.75" x14ac:dyDescent="0.2">
      <c r="B661" s="1"/>
      <c r="H661" s="1"/>
    </row>
    <row r="662" spans="2:8" ht="12.75" x14ac:dyDescent="0.2">
      <c r="B662" s="1"/>
      <c r="H662" s="1"/>
    </row>
    <row r="663" spans="2:8" ht="12.75" x14ac:dyDescent="0.2">
      <c r="B663" s="1"/>
      <c r="H663" s="1"/>
    </row>
    <row r="664" spans="2:8" ht="12.75" x14ac:dyDescent="0.2">
      <c r="B664" s="1"/>
      <c r="H664" s="1"/>
    </row>
    <row r="665" spans="2:8" ht="12.75" x14ac:dyDescent="0.2">
      <c r="B665" s="1"/>
      <c r="H665" s="1"/>
    </row>
    <row r="666" spans="2:8" ht="12.75" x14ac:dyDescent="0.2">
      <c r="B666" s="1"/>
      <c r="H666" s="1"/>
    </row>
    <row r="667" spans="2:8" ht="12.75" x14ac:dyDescent="0.2">
      <c r="B667" s="1"/>
      <c r="H667" s="1"/>
    </row>
    <row r="668" spans="2:8" ht="12.75" x14ac:dyDescent="0.2">
      <c r="B668" s="1"/>
      <c r="H668" s="1"/>
    </row>
    <row r="669" spans="2:8" ht="12.75" x14ac:dyDescent="0.2">
      <c r="B669" s="1"/>
      <c r="H669" s="1"/>
    </row>
    <row r="670" spans="2:8" ht="12.75" x14ac:dyDescent="0.2">
      <c r="B670" s="1"/>
      <c r="H670" s="1"/>
    </row>
    <row r="671" spans="2:8" ht="12.75" x14ac:dyDescent="0.2">
      <c r="B671" s="1"/>
      <c r="H671" s="1"/>
    </row>
    <row r="672" spans="2:8" ht="12.75" x14ac:dyDescent="0.2">
      <c r="B672" s="1"/>
      <c r="H672" s="1"/>
    </row>
    <row r="673" spans="2:8" ht="12.75" x14ac:dyDescent="0.2">
      <c r="B673" s="1"/>
      <c r="H673" s="1"/>
    </row>
    <row r="674" spans="2:8" ht="12.75" x14ac:dyDescent="0.2">
      <c r="B674" s="1"/>
      <c r="H674" s="1"/>
    </row>
    <row r="675" spans="2:8" ht="12.75" x14ac:dyDescent="0.2">
      <c r="B675" s="1"/>
      <c r="H675" s="1"/>
    </row>
    <row r="676" spans="2:8" ht="12.75" x14ac:dyDescent="0.2">
      <c r="B676" s="1"/>
      <c r="H676" s="1"/>
    </row>
    <row r="677" spans="2:8" ht="12.75" x14ac:dyDescent="0.2">
      <c r="B677" s="1"/>
      <c r="H677" s="1"/>
    </row>
    <row r="678" spans="2:8" ht="12.75" x14ac:dyDescent="0.2">
      <c r="B678" s="1"/>
      <c r="H678" s="1"/>
    </row>
    <row r="679" spans="2:8" ht="12.75" x14ac:dyDescent="0.2">
      <c r="B679" s="1"/>
      <c r="H679" s="1"/>
    </row>
    <row r="680" spans="2:8" ht="12.75" x14ac:dyDescent="0.2">
      <c r="B680" s="1"/>
      <c r="H680" s="1"/>
    </row>
    <row r="681" spans="2:8" ht="12.75" x14ac:dyDescent="0.2">
      <c r="B681" s="1"/>
      <c r="H681" s="1"/>
    </row>
    <row r="682" spans="2:8" ht="12.75" x14ac:dyDescent="0.2">
      <c r="B682" s="1"/>
      <c r="H682" s="1"/>
    </row>
    <row r="683" spans="2:8" ht="12.75" x14ac:dyDescent="0.2">
      <c r="B683" s="1"/>
      <c r="H683" s="1"/>
    </row>
    <row r="684" spans="2:8" ht="12.75" x14ac:dyDescent="0.2">
      <c r="B684" s="1"/>
      <c r="H684" s="1"/>
    </row>
    <row r="685" spans="2:8" ht="12.75" x14ac:dyDescent="0.2">
      <c r="B685" s="1"/>
      <c r="H685" s="1"/>
    </row>
    <row r="686" spans="2:8" ht="12.75" x14ac:dyDescent="0.2">
      <c r="B686" s="1"/>
      <c r="H686" s="1"/>
    </row>
    <row r="687" spans="2:8" ht="12.75" x14ac:dyDescent="0.2">
      <c r="B687" s="1"/>
      <c r="H687" s="1"/>
    </row>
    <row r="688" spans="2:8" ht="12.75" x14ac:dyDescent="0.2">
      <c r="B688" s="1"/>
      <c r="H688" s="1"/>
    </row>
    <row r="689" spans="2:8" ht="12.75" x14ac:dyDescent="0.2">
      <c r="B689" s="1"/>
      <c r="H689" s="1"/>
    </row>
    <row r="690" spans="2:8" ht="12.75" x14ac:dyDescent="0.2">
      <c r="B690" s="1"/>
      <c r="H690" s="1"/>
    </row>
    <row r="691" spans="2:8" ht="12.75" x14ac:dyDescent="0.2">
      <c r="B691" s="1"/>
      <c r="H691" s="1"/>
    </row>
    <row r="692" spans="2:8" ht="12.75" x14ac:dyDescent="0.2">
      <c r="B692" s="1"/>
      <c r="H692" s="1"/>
    </row>
    <row r="693" spans="2:8" ht="12.75" x14ac:dyDescent="0.2">
      <c r="B693" s="1"/>
      <c r="H693" s="1"/>
    </row>
    <row r="694" spans="2:8" ht="12.75" x14ac:dyDescent="0.2">
      <c r="B694" s="1"/>
      <c r="H694" s="1"/>
    </row>
    <row r="695" spans="2:8" ht="12.75" x14ac:dyDescent="0.2">
      <c r="B695" s="1"/>
      <c r="H695" s="1"/>
    </row>
    <row r="696" spans="2:8" ht="12.75" x14ac:dyDescent="0.2">
      <c r="B696" s="1"/>
      <c r="H696" s="1"/>
    </row>
    <row r="697" spans="2:8" ht="12.75" x14ac:dyDescent="0.2">
      <c r="B697" s="1"/>
      <c r="H697" s="1"/>
    </row>
    <row r="698" spans="2:8" ht="12.75" x14ac:dyDescent="0.2">
      <c r="B698" s="1"/>
      <c r="H698" s="1"/>
    </row>
    <row r="699" spans="2:8" ht="12.75" x14ac:dyDescent="0.2">
      <c r="B699" s="1"/>
      <c r="H699" s="1"/>
    </row>
    <row r="700" spans="2:8" ht="12.75" x14ac:dyDescent="0.2">
      <c r="B700" s="1"/>
      <c r="H700" s="1"/>
    </row>
    <row r="701" spans="2:8" ht="12.75" x14ac:dyDescent="0.2">
      <c r="B701" s="1"/>
      <c r="H701" s="1"/>
    </row>
    <row r="702" spans="2:8" ht="12.75" x14ac:dyDescent="0.2">
      <c r="B702" s="1"/>
      <c r="H702" s="1"/>
    </row>
    <row r="703" spans="2:8" ht="12.75" x14ac:dyDescent="0.2">
      <c r="B703" s="1"/>
      <c r="H703" s="1"/>
    </row>
    <row r="704" spans="2:8" ht="12.75" x14ac:dyDescent="0.2">
      <c r="B704" s="1"/>
      <c r="H704" s="1"/>
    </row>
    <row r="705" spans="2:8" ht="12.75" x14ac:dyDescent="0.2">
      <c r="B705" s="1"/>
      <c r="H705" s="1"/>
    </row>
    <row r="706" spans="2:8" ht="12.75" x14ac:dyDescent="0.2">
      <c r="B706" s="1"/>
      <c r="H706" s="1"/>
    </row>
    <row r="707" spans="2:8" ht="12.75" x14ac:dyDescent="0.2">
      <c r="B707" s="1"/>
      <c r="H707" s="1"/>
    </row>
    <row r="708" spans="2:8" ht="12.75" x14ac:dyDescent="0.2">
      <c r="B708" s="1"/>
      <c r="H708" s="1"/>
    </row>
    <row r="709" spans="2:8" ht="12.75" x14ac:dyDescent="0.2">
      <c r="B709" s="1"/>
      <c r="H709" s="1"/>
    </row>
    <row r="710" spans="2:8" ht="12.75" x14ac:dyDescent="0.2">
      <c r="B710" s="1"/>
      <c r="H710" s="1"/>
    </row>
    <row r="711" spans="2:8" ht="12.75" x14ac:dyDescent="0.2">
      <c r="B711" s="1"/>
      <c r="H711" s="1"/>
    </row>
    <row r="712" spans="2:8" ht="12.75" x14ac:dyDescent="0.2">
      <c r="B712" s="1"/>
      <c r="H712" s="1"/>
    </row>
    <row r="713" spans="2:8" ht="12.75" x14ac:dyDescent="0.2">
      <c r="B713" s="1"/>
      <c r="H713" s="1"/>
    </row>
    <row r="714" spans="2:8" ht="12.75" x14ac:dyDescent="0.2">
      <c r="B714" s="1"/>
      <c r="H714" s="1"/>
    </row>
    <row r="715" spans="2:8" ht="12.75" x14ac:dyDescent="0.2">
      <c r="B715" s="1"/>
      <c r="H715" s="1"/>
    </row>
    <row r="716" spans="2:8" ht="12.75" x14ac:dyDescent="0.2">
      <c r="B716" s="1"/>
      <c r="H716" s="1"/>
    </row>
    <row r="717" spans="2:8" ht="12.75" x14ac:dyDescent="0.2">
      <c r="B717" s="1"/>
      <c r="H717" s="1"/>
    </row>
    <row r="718" spans="2:8" ht="12.75" x14ac:dyDescent="0.2">
      <c r="B718" s="1"/>
      <c r="H718" s="1"/>
    </row>
    <row r="719" spans="2:8" ht="12.75" x14ac:dyDescent="0.2">
      <c r="B719" s="1"/>
      <c r="H719" s="1"/>
    </row>
    <row r="720" spans="2:8" ht="12.75" x14ac:dyDescent="0.2">
      <c r="B720" s="1"/>
      <c r="H720" s="1"/>
    </row>
    <row r="721" spans="2:8" ht="12.75" x14ac:dyDescent="0.2">
      <c r="B721" s="1"/>
      <c r="H721" s="1"/>
    </row>
    <row r="722" spans="2:8" ht="12.75" x14ac:dyDescent="0.2">
      <c r="B722" s="1"/>
      <c r="H722" s="1"/>
    </row>
    <row r="723" spans="2:8" ht="12.75" x14ac:dyDescent="0.2">
      <c r="B723" s="1"/>
      <c r="H723" s="1"/>
    </row>
    <row r="724" spans="2:8" ht="12.75" x14ac:dyDescent="0.2">
      <c r="B724" s="1"/>
      <c r="H724" s="1"/>
    </row>
    <row r="725" spans="2:8" ht="12.75" x14ac:dyDescent="0.2">
      <c r="B725" s="1"/>
      <c r="H725" s="1"/>
    </row>
    <row r="726" spans="2:8" ht="12.75" x14ac:dyDescent="0.2">
      <c r="B726" s="1"/>
      <c r="H726" s="1"/>
    </row>
    <row r="727" spans="2:8" ht="12.75" x14ac:dyDescent="0.2">
      <c r="B727" s="1"/>
      <c r="H727" s="1"/>
    </row>
    <row r="728" spans="2:8" ht="12.75" x14ac:dyDescent="0.2">
      <c r="B728" s="1"/>
      <c r="H728" s="1"/>
    </row>
    <row r="729" spans="2:8" ht="12.75" x14ac:dyDescent="0.2">
      <c r="B729" s="1"/>
      <c r="H729" s="1"/>
    </row>
    <row r="730" spans="2:8" ht="12.75" x14ac:dyDescent="0.2">
      <c r="B730" s="1"/>
      <c r="H730" s="1"/>
    </row>
    <row r="731" spans="2:8" ht="12.75" x14ac:dyDescent="0.2">
      <c r="B731" s="1"/>
      <c r="H731" s="1"/>
    </row>
    <row r="732" spans="2:8" ht="12.75" x14ac:dyDescent="0.2">
      <c r="B732" s="1"/>
      <c r="H732" s="1"/>
    </row>
    <row r="733" spans="2:8" ht="12.75" x14ac:dyDescent="0.2">
      <c r="B733" s="1"/>
      <c r="H733" s="1"/>
    </row>
    <row r="734" spans="2:8" ht="12.75" x14ac:dyDescent="0.2">
      <c r="B734" s="1"/>
      <c r="H734" s="1"/>
    </row>
    <row r="735" spans="2:8" ht="12.75" x14ac:dyDescent="0.2">
      <c r="B735" s="1"/>
      <c r="H735" s="1"/>
    </row>
    <row r="736" spans="2:8" ht="12.75" x14ac:dyDescent="0.2">
      <c r="B736" s="1"/>
      <c r="H736" s="1"/>
    </row>
    <row r="737" spans="2:8" ht="12.75" x14ac:dyDescent="0.2">
      <c r="B737" s="1"/>
      <c r="H737" s="1"/>
    </row>
    <row r="738" spans="2:8" ht="12.75" x14ac:dyDescent="0.2">
      <c r="B738" s="1"/>
      <c r="H738" s="1"/>
    </row>
    <row r="739" spans="2:8" ht="12.75" x14ac:dyDescent="0.2">
      <c r="B739" s="1"/>
      <c r="H739" s="1"/>
    </row>
    <row r="740" spans="2:8" ht="12.75" x14ac:dyDescent="0.2">
      <c r="B740" s="1"/>
      <c r="H740" s="1"/>
    </row>
    <row r="741" spans="2:8" ht="12.75" x14ac:dyDescent="0.2">
      <c r="B741" s="1"/>
      <c r="H741" s="1"/>
    </row>
    <row r="742" spans="2:8" ht="12.75" x14ac:dyDescent="0.2">
      <c r="B742" s="1"/>
      <c r="H742" s="1"/>
    </row>
    <row r="743" spans="2:8" ht="12.75" x14ac:dyDescent="0.2">
      <c r="B743" s="1"/>
      <c r="H743" s="1"/>
    </row>
    <row r="744" spans="2:8" ht="12.75" x14ac:dyDescent="0.2">
      <c r="B744" s="1"/>
      <c r="H744" s="1"/>
    </row>
    <row r="745" spans="2:8" ht="12.75" x14ac:dyDescent="0.2">
      <c r="B745" s="1"/>
      <c r="H745" s="1"/>
    </row>
    <row r="746" spans="2:8" ht="12.75" x14ac:dyDescent="0.2">
      <c r="B746" s="1"/>
      <c r="H746" s="1"/>
    </row>
    <row r="747" spans="2:8" ht="12.75" x14ac:dyDescent="0.2">
      <c r="B747" s="1"/>
      <c r="H747" s="1"/>
    </row>
    <row r="748" spans="2:8" ht="12.75" x14ac:dyDescent="0.2">
      <c r="B748" s="1"/>
      <c r="H748" s="1"/>
    </row>
    <row r="749" spans="2:8" ht="12.75" x14ac:dyDescent="0.2">
      <c r="B749" s="1"/>
      <c r="H749" s="1"/>
    </row>
    <row r="750" spans="2:8" ht="12.75" x14ac:dyDescent="0.2">
      <c r="B750" s="1"/>
      <c r="H750" s="1"/>
    </row>
    <row r="751" spans="2:8" ht="12.75" x14ac:dyDescent="0.2">
      <c r="B751" s="1"/>
      <c r="H751" s="1"/>
    </row>
    <row r="752" spans="2:8" ht="12.75" x14ac:dyDescent="0.2">
      <c r="B752" s="1"/>
      <c r="H752" s="1"/>
    </row>
    <row r="753" spans="2:8" ht="12.75" x14ac:dyDescent="0.2">
      <c r="B753" s="1"/>
      <c r="H753" s="1"/>
    </row>
    <row r="754" spans="2:8" ht="12.75" x14ac:dyDescent="0.2">
      <c r="B754" s="1"/>
      <c r="H754" s="1"/>
    </row>
    <row r="755" spans="2:8" ht="12.75" x14ac:dyDescent="0.2">
      <c r="B755" s="1"/>
      <c r="H755" s="1"/>
    </row>
    <row r="756" spans="2:8" ht="12.75" x14ac:dyDescent="0.2">
      <c r="B756" s="1"/>
      <c r="H756" s="1"/>
    </row>
    <row r="757" spans="2:8" ht="12.75" x14ac:dyDescent="0.2">
      <c r="B757" s="1"/>
      <c r="H757" s="1"/>
    </row>
    <row r="758" spans="2:8" ht="12.75" x14ac:dyDescent="0.2">
      <c r="B758" s="1"/>
      <c r="H758" s="1"/>
    </row>
    <row r="759" spans="2:8" ht="12.75" x14ac:dyDescent="0.2">
      <c r="B759" s="1"/>
      <c r="H759" s="1"/>
    </row>
    <row r="760" spans="2:8" ht="12.75" x14ac:dyDescent="0.2">
      <c r="B760" s="1"/>
      <c r="H760" s="1"/>
    </row>
    <row r="761" spans="2:8" ht="12.75" x14ac:dyDescent="0.2">
      <c r="B761" s="1"/>
      <c r="H761" s="1"/>
    </row>
    <row r="762" spans="2:8" ht="12.75" x14ac:dyDescent="0.2">
      <c r="B762" s="1"/>
      <c r="H762" s="1"/>
    </row>
    <row r="763" spans="2:8" ht="12.75" x14ac:dyDescent="0.2">
      <c r="B763" s="1"/>
      <c r="H763" s="1"/>
    </row>
    <row r="764" spans="2:8" ht="12.75" x14ac:dyDescent="0.2">
      <c r="B764" s="1"/>
      <c r="H764" s="1"/>
    </row>
    <row r="765" spans="2:8" ht="12.75" x14ac:dyDescent="0.2">
      <c r="B765" s="1"/>
      <c r="H765" s="1"/>
    </row>
    <row r="766" spans="2:8" ht="12.75" x14ac:dyDescent="0.2">
      <c r="B766" s="1"/>
      <c r="H766" s="1"/>
    </row>
    <row r="767" spans="2:8" ht="12.75" x14ac:dyDescent="0.2">
      <c r="B767" s="1"/>
      <c r="H767" s="1"/>
    </row>
    <row r="768" spans="2:8" ht="12.75" x14ac:dyDescent="0.2">
      <c r="B768" s="1"/>
      <c r="H768" s="1"/>
    </row>
    <row r="769" spans="2:8" ht="12.75" x14ac:dyDescent="0.2">
      <c r="B769" s="1"/>
      <c r="H769" s="1"/>
    </row>
    <row r="770" spans="2:8" ht="12.75" x14ac:dyDescent="0.2">
      <c r="B770" s="1"/>
      <c r="H770" s="1"/>
    </row>
    <row r="771" spans="2:8" ht="12.75" x14ac:dyDescent="0.2">
      <c r="B771" s="1"/>
      <c r="H771" s="1"/>
    </row>
    <row r="772" spans="2:8" ht="12.75" x14ac:dyDescent="0.2">
      <c r="B772" s="1"/>
      <c r="H772" s="1"/>
    </row>
    <row r="773" spans="2:8" ht="12.75" x14ac:dyDescent="0.2">
      <c r="B773" s="1"/>
      <c r="H773" s="1"/>
    </row>
    <row r="774" spans="2:8" ht="12.75" x14ac:dyDescent="0.2">
      <c r="B774" s="1"/>
      <c r="H774" s="1"/>
    </row>
    <row r="775" spans="2:8" ht="12.75" x14ac:dyDescent="0.2">
      <c r="B775" s="1"/>
      <c r="H775" s="1"/>
    </row>
    <row r="776" spans="2:8" ht="12.75" x14ac:dyDescent="0.2">
      <c r="B776" s="1"/>
      <c r="H776" s="1"/>
    </row>
    <row r="777" spans="2:8" ht="12.75" x14ac:dyDescent="0.2">
      <c r="B777" s="1"/>
      <c r="H777" s="1"/>
    </row>
    <row r="778" spans="2:8" ht="12.75" x14ac:dyDescent="0.2">
      <c r="B778" s="1"/>
      <c r="H778" s="1"/>
    </row>
    <row r="779" spans="2:8" ht="12.75" x14ac:dyDescent="0.2">
      <c r="B779" s="1"/>
      <c r="H779" s="1"/>
    </row>
    <row r="780" spans="2:8" ht="12.75" x14ac:dyDescent="0.2">
      <c r="B780" s="1"/>
      <c r="H780" s="1"/>
    </row>
    <row r="781" spans="2:8" ht="12.75" x14ac:dyDescent="0.2">
      <c r="B781" s="1"/>
      <c r="H781" s="1"/>
    </row>
    <row r="782" spans="2:8" ht="12.75" x14ac:dyDescent="0.2">
      <c r="B782" s="1"/>
      <c r="H782" s="1"/>
    </row>
    <row r="783" spans="2:8" ht="12.75" x14ac:dyDescent="0.2">
      <c r="B783" s="1"/>
      <c r="H783" s="1"/>
    </row>
    <row r="784" spans="2:8" ht="12.75" x14ac:dyDescent="0.2">
      <c r="B784" s="1"/>
      <c r="H784" s="1"/>
    </row>
    <row r="785" spans="2:8" ht="12.75" x14ac:dyDescent="0.2">
      <c r="B785" s="1"/>
      <c r="H785" s="1"/>
    </row>
    <row r="786" spans="2:8" ht="12.75" x14ac:dyDescent="0.2">
      <c r="B786" s="1"/>
      <c r="H786" s="1"/>
    </row>
    <row r="787" spans="2:8" ht="12.75" x14ac:dyDescent="0.2">
      <c r="B787" s="1"/>
      <c r="H787" s="1"/>
    </row>
    <row r="788" spans="2:8" ht="12.75" x14ac:dyDescent="0.2">
      <c r="B788" s="1"/>
      <c r="H788" s="1"/>
    </row>
    <row r="789" spans="2:8" ht="12.75" x14ac:dyDescent="0.2">
      <c r="B789" s="1"/>
      <c r="H789" s="1"/>
    </row>
    <row r="790" spans="2:8" ht="12.75" x14ac:dyDescent="0.2">
      <c r="B790" s="1"/>
      <c r="H790" s="1"/>
    </row>
    <row r="791" spans="2:8" ht="12.75" x14ac:dyDescent="0.2">
      <c r="B791" s="1"/>
      <c r="H791" s="1"/>
    </row>
    <row r="792" spans="2:8" ht="12.75" x14ac:dyDescent="0.2">
      <c r="B792" s="1"/>
      <c r="H792" s="1"/>
    </row>
    <row r="793" spans="2:8" ht="12.75" x14ac:dyDescent="0.2">
      <c r="B793" s="1"/>
      <c r="H793" s="1"/>
    </row>
    <row r="794" spans="2:8" ht="12.75" x14ac:dyDescent="0.2">
      <c r="B794" s="1"/>
      <c r="H794" s="1"/>
    </row>
    <row r="795" spans="2:8" ht="12.75" x14ac:dyDescent="0.2">
      <c r="B795" s="1"/>
      <c r="H795" s="1"/>
    </row>
    <row r="796" spans="2:8" ht="12.75" x14ac:dyDescent="0.2">
      <c r="B796" s="1"/>
      <c r="H796" s="1"/>
    </row>
    <row r="797" spans="2:8" ht="12.75" x14ac:dyDescent="0.2">
      <c r="B797" s="1"/>
      <c r="H797" s="1"/>
    </row>
    <row r="798" spans="2:8" ht="12.75" x14ac:dyDescent="0.2">
      <c r="B798" s="1"/>
      <c r="H798" s="1"/>
    </row>
    <row r="799" spans="2:8" ht="12.75" x14ac:dyDescent="0.2">
      <c r="B799" s="1"/>
      <c r="H799" s="1"/>
    </row>
    <row r="800" spans="2:8" ht="12.75" x14ac:dyDescent="0.2">
      <c r="B800" s="1"/>
      <c r="H800" s="1"/>
    </row>
    <row r="801" spans="2:8" ht="12.75" x14ac:dyDescent="0.2">
      <c r="B801" s="1"/>
      <c r="H801" s="1"/>
    </row>
    <row r="802" spans="2:8" ht="12.75" x14ac:dyDescent="0.2">
      <c r="B802" s="1"/>
      <c r="H802" s="1"/>
    </row>
    <row r="803" spans="2:8" ht="12.75" x14ac:dyDescent="0.2">
      <c r="B803" s="1"/>
      <c r="H803" s="1"/>
    </row>
    <row r="804" spans="2:8" ht="12.75" x14ac:dyDescent="0.2">
      <c r="B804" s="1"/>
      <c r="H804" s="1"/>
    </row>
    <row r="805" spans="2:8" ht="12.75" x14ac:dyDescent="0.2">
      <c r="B805" s="1"/>
      <c r="H805" s="1"/>
    </row>
    <row r="806" spans="2:8" ht="12.75" x14ac:dyDescent="0.2">
      <c r="B806" s="1"/>
      <c r="H806" s="1"/>
    </row>
    <row r="807" spans="2:8" ht="12.75" x14ac:dyDescent="0.2">
      <c r="B807" s="1"/>
      <c r="H807" s="1"/>
    </row>
    <row r="808" spans="2:8" ht="12.75" x14ac:dyDescent="0.2">
      <c r="B808" s="1"/>
      <c r="H808" s="1"/>
    </row>
    <row r="809" spans="2:8" ht="12.75" x14ac:dyDescent="0.2">
      <c r="B809" s="1"/>
      <c r="H809" s="1"/>
    </row>
    <row r="810" spans="2:8" ht="12.75" x14ac:dyDescent="0.2">
      <c r="B810" s="1"/>
      <c r="H810" s="1"/>
    </row>
    <row r="811" spans="2:8" ht="12.75" x14ac:dyDescent="0.2">
      <c r="B811" s="1"/>
      <c r="H811" s="1"/>
    </row>
    <row r="812" spans="2:8" ht="12.75" x14ac:dyDescent="0.2">
      <c r="B812" s="1"/>
      <c r="H812" s="1"/>
    </row>
    <row r="813" spans="2:8" ht="12.75" x14ac:dyDescent="0.2">
      <c r="B813" s="1"/>
      <c r="H813" s="1"/>
    </row>
    <row r="814" spans="2:8" ht="12.75" x14ac:dyDescent="0.2">
      <c r="B814" s="1"/>
      <c r="H814" s="1"/>
    </row>
    <row r="815" spans="2:8" ht="12.75" x14ac:dyDescent="0.2">
      <c r="B815" s="1"/>
      <c r="H815" s="1"/>
    </row>
    <row r="816" spans="2:8" ht="12.75" x14ac:dyDescent="0.2">
      <c r="B816" s="1"/>
      <c r="H816" s="1"/>
    </row>
    <row r="817" spans="2:8" ht="12.75" x14ac:dyDescent="0.2">
      <c r="B817" s="1"/>
      <c r="H817" s="1"/>
    </row>
    <row r="818" spans="2:8" ht="12.75" x14ac:dyDescent="0.2">
      <c r="B818" s="1"/>
      <c r="H818" s="1"/>
    </row>
    <row r="819" spans="2:8" ht="12.75" x14ac:dyDescent="0.2">
      <c r="B819" s="1"/>
      <c r="H819" s="1"/>
    </row>
    <row r="820" spans="2:8" ht="12.75" x14ac:dyDescent="0.2">
      <c r="B820" s="1"/>
      <c r="H820" s="1"/>
    </row>
    <row r="821" spans="2:8" ht="12.75" x14ac:dyDescent="0.2">
      <c r="B821" s="1"/>
      <c r="H821" s="1"/>
    </row>
    <row r="822" spans="2:8" ht="12.75" x14ac:dyDescent="0.2">
      <c r="B822" s="1"/>
      <c r="H822" s="1"/>
    </row>
    <row r="823" spans="2:8" ht="12.75" x14ac:dyDescent="0.2">
      <c r="B823" s="1"/>
      <c r="H823" s="1"/>
    </row>
    <row r="824" spans="2:8" ht="12.75" x14ac:dyDescent="0.2">
      <c r="B824" s="1"/>
      <c r="H824" s="1"/>
    </row>
    <row r="825" spans="2:8" ht="12.75" x14ac:dyDescent="0.2">
      <c r="B825" s="1"/>
      <c r="H825" s="1"/>
    </row>
    <row r="826" spans="2:8" ht="12.75" x14ac:dyDescent="0.2">
      <c r="B826" s="1"/>
      <c r="H826" s="1"/>
    </row>
    <row r="827" spans="2:8" ht="12.75" x14ac:dyDescent="0.2">
      <c r="B827" s="1"/>
      <c r="H827" s="1"/>
    </row>
    <row r="828" spans="2:8" ht="12.75" x14ac:dyDescent="0.2">
      <c r="B828" s="1"/>
      <c r="H828" s="1"/>
    </row>
    <row r="829" spans="2:8" ht="12.75" x14ac:dyDescent="0.2">
      <c r="B829" s="1"/>
      <c r="H829" s="1"/>
    </row>
    <row r="830" spans="2:8" ht="12.75" x14ac:dyDescent="0.2">
      <c r="B830" s="1"/>
      <c r="H830" s="1"/>
    </row>
    <row r="831" spans="2:8" ht="12.75" x14ac:dyDescent="0.2">
      <c r="B831" s="1"/>
      <c r="H831" s="1"/>
    </row>
    <row r="832" spans="2:8" ht="12.75" x14ac:dyDescent="0.2">
      <c r="B832" s="1"/>
      <c r="H832" s="1"/>
    </row>
    <row r="833" spans="2:8" ht="12.75" x14ac:dyDescent="0.2">
      <c r="B833" s="1"/>
      <c r="H833" s="1"/>
    </row>
    <row r="834" spans="2:8" ht="12.75" x14ac:dyDescent="0.2">
      <c r="B834" s="1"/>
      <c r="H834" s="1"/>
    </row>
    <row r="835" spans="2:8" ht="12.75" x14ac:dyDescent="0.2">
      <c r="B835" s="1"/>
      <c r="H835" s="1"/>
    </row>
    <row r="836" spans="2:8" ht="12.75" x14ac:dyDescent="0.2">
      <c r="B836" s="1"/>
      <c r="H836" s="1"/>
    </row>
    <row r="837" spans="2:8" ht="12.75" x14ac:dyDescent="0.2">
      <c r="B837" s="1"/>
      <c r="H837" s="1"/>
    </row>
    <row r="838" spans="2:8" ht="12.75" x14ac:dyDescent="0.2">
      <c r="B838" s="1"/>
      <c r="H838" s="1"/>
    </row>
    <row r="839" spans="2:8" ht="12.75" x14ac:dyDescent="0.2">
      <c r="B839" s="1"/>
      <c r="H839" s="1"/>
    </row>
    <row r="840" spans="2:8" ht="12.75" x14ac:dyDescent="0.2">
      <c r="B840" s="1"/>
      <c r="H840" s="1"/>
    </row>
    <row r="841" spans="2:8" ht="12.75" x14ac:dyDescent="0.2">
      <c r="B841" s="1"/>
      <c r="H841" s="1"/>
    </row>
    <row r="842" spans="2:8" ht="12.75" x14ac:dyDescent="0.2">
      <c r="B842" s="1"/>
      <c r="H842" s="1"/>
    </row>
    <row r="843" spans="2:8" ht="12.75" x14ac:dyDescent="0.2">
      <c r="B843" s="1"/>
      <c r="H843" s="1"/>
    </row>
    <row r="844" spans="2:8" ht="12.75" x14ac:dyDescent="0.2">
      <c r="B844" s="1"/>
      <c r="H844" s="1"/>
    </row>
    <row r="845" spans="2:8" ht="12.75" x14ac:dyDescent="0.2">
      <c r="B845" s="1"/>
      <c r="H845" s="1"/>
    </row>
    <row r="846" spans="2:8" ht="12.75" x14ac:dyDescent="0.2">
      <c r="B846" s="1"/>
      <c r="H846" s="1"/>
    </row>
    <row r="847" spans="2:8" ht="12.75" x14ac:dyDescent="0.2">
      <c r="B847" s="1"/>
      <c r="H847" s="1"/>
    </row>
    <row r="848" spans="2:8" ht="12.75" x14ac:dyDescent="0.2">
      <c r="B848" s="1"/>
      <c r="H848" s="1"/>
    </row>
    <row r="849" spans="2:8" ht="12.75" x14ac:dyDescent="0.2">
      <c r="B849" s="1"/>
      <c r="H849" s="1"/>
    </row>
    <row r="850" spans="2:8" ht="12.75" x14ac:dyDescent="0.2">
      <c r="B850" s="1"/>
      <c r="H850" s="1"/>
    </row>
    <row r="851" spans="2:8" ht="12.75" x14ac:dyDescent="0.2">
      <c r="B851" s="1"/>
      <c r="H851" s="1"/>
    </row>
    <row r="852" spans="2:8" ht="12.75" x14ac:dyDescent="0.2">
      <c r="B852" s="1"/>
      <c r="H852" s="1"/>
    </row>
    <row r="853" spans="2:8" ht="12.75" x14ac:dyDescent="0.2">
      <c r="B853" s="1"/>
      <c r="H853" s="1"/>
    </row>
    <row r="854" spans="2:8" ht="12.75" x14ac:dyDescent="0.2">
      <c r="B854" s="1"/>
      <c r="H854" s="1"/>
    </row>
    <row r="855" spans="2:8" ht="12.75" x14ac:dyDescent="0.2">
      <c r="B855" s="1"/>
      <c r="H855" s="1"/>
    </row>
    <row r="856" spans="2:8" ht="12.75" x14ac:dyDescent="0.2">
      <c r="B856" s="1"/>
      <c r="H856" s="1"/>
    </row>
    <row r="857" spans="2:8" ht="12.75" x14ac:dyDescent="0.2">
      <c r="B857" s="1"/>
      <c r="H857" s="1"/>
    </row>
    <row r="858" spans="2:8" ht="12.75" x14ac:dyDescent="0.2">
      <c r="B858" s="1"/>
      <c r="H858" s="1"/>
    </row>
    <row r="859" spans="2:8" ht="12.75" x14ac:dyDescent="0.2">
      <c r="B859" s="1"/>
      <c r="H859" s="1"/>
    </row>
    <row r="860" spans="2:8" ht="12.75" x14ac:dyDescent="0.2">
      <c r="B860" s="1"/>
      <c r="H860" s="1"/>
    </row>
    <row r="861" spans="2:8" ht="12.75" x14ac:dyDescent="0.2">
      <c r="B861" s="1"/>
      <c r="H861" s="1"/>
    </row>
    <row r="862" spans="2:8" ht="12.75" x14ac:dyDescent="0.2">
      <c r="B862" s="1"/>
      <c r="H862" s="1"/>
    </row>
    <row r="863" spans="2:8" ht="12.75" x14ac:dyDescent="0.2">
      <c r="B863" s="1"/>
      <c r="H863" s="1"/>
    </row>
    <row r="864" spans="2:8" ht="12.75" x14ac:dyDescent="0.2">
      <c r="B864" s="1"/>
      <c r="H864" s="1"/>
    </row>
    <row r="865" spans="2:8" ht="12.75" x14ac:dyDescent="0.2">
      <c r="B865" s="1"/>
      <c r="H865" s="1"/>
    </row>
    <row r="866" spans="2:8" ht="12.75" x14ac:dyDescent="0.2">
      <c r="B866" s="1"/>
      <c r="H866" s="1"/>
    </row>
    <row r="867" spans="2:8" ht="12.75" x14ac:dyDescent="0.2">
      <c r="B867" s="1"/>
      <c r="H867" s="1"/>
    </row>
    <row r="868" spans="2:8" ht="12.75" x14ac:dyDescent="0.2">
      <c r="B868" s="1"/>
      <c r="H868" s="1"/>
    </row>
    <row r="869" spans="2:8" ht="12.75" x14ac:dyDescent="0.2">
      <c r="B869" s="1"/>
      <c r="H869" s="1"/>
    </row>
    <row r="870" spans="2:8" ht="12.75" x14ac:dyDescent="0.2">
      <c r="B870" s="1"/>
      <c r="H870" s="1"/>
    </row>
    <row r="871" spans="2:8" ht="12.75" x14ac:dyDescent="0.2">
      <c r="B871" s="1"/>
      <c r="H871" s="1"/>
    </row>
    <row r="872" spans="2:8" ht="12.75" x14ac:dyDescent="0.2">
      <c r="B872" s="1"/>
      <c r="H872" s="1"/>
    </row>
    <row r="873" spans="2:8" ht="12.75" x14ac:dyDescent="0.2">
      <c r="B873" s="1"/>
      <c r="H873" s="1"/>
    </row>
    <row r="874" spans="2:8" ht="12.75" x14ac:dyDescent="0.2">
      <c r="B874" s="1"/>
      <c r="H874" s="1"/>
    </row>
    <row r="875" spans="2:8" ht="12.75" x14ac:dyDescent="0.2">
      <c r="B875" s="1"/>
      <c r="H875" s="1"/>
    </row>
    <row r="876" spans="2:8" ht="12.75" x14ac:dyDescent="0.2">
      <c r="B876" s="1"/>
      <c r="H876" s="1"/>
    </row>
    <row r="877" spans="2:8" ht="12.75" x14ac:dyDescent="0.2">
      <c r="B877" s="1"/>
      <c r="H877" s="1"/>
    </row>
    <row r="878" spans="2:8" ht="12.75" x14ac:dyDescent="0.2">
      <c r="B878" s="1"/>
      <c r="H878" s="1"/>
    </row>
    <row r="879" spans="2:8" ht="12.75" x14ac:dyDescent="0.2">
      <c r="B879" s="1"/>
      <c r="H879" s="1"/>
    </row>
    <row r="880" spans="2:8" ht="12.75" x14ac:dyDescent="0.2">
      <c r="B880" s="1"/>
      <c r="H880" s="1"/>
    </row>
    <row r="881" spans="2:8" ht="12.75" x14ac:dyDescent="0.2">
      <c r="B881" s="1"/>
      <c r="H881" s="1"/>
    </row>
    <row r="882" spans="2:8" ht="12.75" x14ac:dyDescent="0.2">
      <c r="B882" s="1"/>
      <c r="H882" s="1"/>
    </row>
    <row r="883" spans="2:8" ht="12.75" x14ac:dyDescent="0.2">
      <c r="B883" s="1"/>
      <c r="H883" s="1"/>
    </row>
    <row r="884" spans="2:8" ht="12.75" x14ac:dyDescent="0.2">
      <c r="B884" s="1"/>
      <c r="H884" s="1"/>
    </row>
    <row r="885" spans="2:8" ht="12.75" x14ac:dyDescent="0.2">
      <c r="B885" s="1"/>
      <c r="H885" s="1"/>
    </row>
    <row r="886" spans="2:8" ht="12.75" x14ac:dyDescent="0.2">
      <c r="B886" s="1"/>
      <c r="H886" s="1"/>
    </row>
    <row r="887" spans="2:8" ht="12.75" x14ac:dyDescent="0.2">
      <c r="B887" s="1"/>
      <c r="H887" s="1"/>
    </row>
    <row r="888" spans="2:8" ht="12.75" x14ac:dyDescent="0.2">
      <c r="B888" s="1"/>
      <c r="H888" s="1"/>
    </row>
    <row r="889" spans="2:8" ht="12.75" x14ac:dyDescent="0.2">
      <c r="B889" s="1"/>
      <c r="H889" s="1"/>
    </row>
    <row r="890" spans="2:8" ht="12.75" x14ac:dyDescent="0.2">
      <c r="B890" s="1"/>
      <c r="H890" s="1"/>
    </row>
    <row r="891" spans="2:8" ht="12.75" x14ac:dyDescent="0.2">
      <c r="B891" s="1"/>
      <c r="H891" s="1"/>
    </row>
    <row r="892" spans="2:8" ht="12.75" x14ac:dyDescent="0.2">
      <c r="B892" s="1"/>
      <c r="H892" s="1"/>
    </row>
    <row r="893" spans="2:8" ht="12.75" x14ac:dyDescent="0.2">
      <c r="B893" s="1"/>
      <c r="H893" s="1"/>
    </row>
    <row r="894" spans="2:8" ht="12.75" x14ac:dyDescent="0.2">
      <c r="B894" s="1"/>
      <c r="H894" s="1"/>
    </row>
    <row r="895" spans="2:8" ht="12.75" x14ac:dyDescent="0.2">
      <c r="B895" s="1"/>
      <c r="H895" s="1"/>
    </row>
    <row r="896" spans="2:8" ht="12.75" x14ac:dyDescent="0.2">
      <c r="B896" s="1"/>
      <c r="H896" s="1"/>
    </row>
    <row r="897" spans="2:8" ht="12.75" x14ac:dyDescent="0.2">
      <c r="B897" s="1"/>
      <c r="H897" s="1"/>
    </row>
    <row r="898" spans="2:8" ht="12.75" x14ac:dyDescent="0.2">
      <c r="B898" s="1"/>
      <c r="H898" s="1"/>
    </row>
    <row r="899" spans="2:8" ht="12.75" x14ac:dyDescent="0.2">
      <c r="B899" s="1"/>
      <c r="H899" s="1"/>
    </row>
    <row r="900" spans="2:8" ht="12.75" x14ac:dyDescent="0.2">
      <c r="B900" s="1"/>
      <c r="H900" s="1"/>
    </row>
    <row r="901" spans="2:8" ht="12.75" x14ac:dyDescent="0.2">
      <c r="B901" s="1"/>
      <c r="H901" s="1"/>
    </row>
    <row r="902" spans="2:8" ht="12.75" x14ac:dyDescent="0.2">
      <c r="B902" s="1"/>
      <c r="H902" s="1"/>
    </row>
    <row r="903" spans="2:8" ht="12.75" x14ac:dyDescent="0.2">
      <c r="B903" s="1"/>
      <c r="H903" s="1"/>
    </row>
    <row r="904" spans="2:8" ht="12.75" x14ac:dyDescent="0.2">
      <c r="B904" s="1"/>
      <c r="H904" s="1"/>
    </row>
    <row r="905" spans="2:8" ht="12.75" x14ac:dyDescent="0.2">
      <c r="B905" s="1"/>
      <c r="H905" s="1"/>
    </row>
    <row r="906" spans="2:8" ht="12.75" x14ac:dyDescent="0.2">
      <c r="B906" s="1"/>
      <c r="H906" s="1"/>
    </row>
    <row r="907" spans="2:8" ht="12.75" x14ac:dyDescent="0.2">
      <c r="B907" s="1"/>
      <c r="H907" s="1"/>
    </row>
    <row r="908" spans="2:8" ht="12.75" x14ac:dyDescent="0.2">
      <c r="B908" s="1"/>
      <c r="H908" s="1"/>
    </row>
    <row r="909" spans="2:8" ht="12.75" x14ac:dyDescent="0.2">
      <c r="B909" s="1"/>
      <c r="H909" s="1"/>
    </row>
    <row r="910" spans="2:8" ht="12.75" x14ac:dyDescent="0.2">
      <c r="B910" s="1"/>
      <c r="H910" s="1"/>
    </row>
    <row r="911" spans="2:8" ht="12.75" x14ac:dyDescent="0.2">
      <c r="B911" s="1"/>
      <c r="H911" s="1"/>
    </row>
    <row r="912" spans="2:8" ht="12.75" x14ac:dyDescent="0.2">
      <c r="B912" s="1"/>
      <c r="H912" s="1"/>
    </row>
    <row r="913" spans="2:8" ht="12.75" x14ac:dyDescent="0.2">
      <c r="B913" s="1"/>
      <c r="H913" s="1"/>
    </row>
    <row r="914" spans="2:8" ht="12.75" x14ac:dyDescent="0.2">
      <c r="B914" s="1"/>
      <c r="H914" s="1"/>
    </row>
    <row r="915" spans="2:8" ht="12.75" x14ac:dyDescent="0.2">
      <c r="B915" s="1"/>
      <c r="H915" s="1"/>
    </row>
    <row r="916" spans="2:8" ht="12.75" x14ac:dyDescent="0.2">
      <c r="B916" s="1"/>
      <c r="H916" s="1"/>
    </row>
    <row r="917" spans="2:8" ht="12.75" x14ac:dyDescent="0.2">
      <c r="B917" s="1"/>
      <c r="H917" s="1"/>
    </row>
    <row r="918" spans="2:8" ht="12.75" x14ac:dyDescent="0.2">
      <c r="B918" s="1"/>
      <c r="H918" s="1"/>
    </row>
    <row r="919" spans="2:8" ht="12.75" x14ac:dyDescent="0.2">
      <c r="B919" s="1"/>
      <c r="H919" s="1"/>
    </row>
    <row r="920" spans="2:8" ht="12.75" x14ac:dyDescent="0.2">
      <c r="B920" s="1"/>
      <c r="H920" s="1"/>
    </row>
    <row r="921" spans="2:8" ht="12.75" x14ac:dyDescent="0.2">
      <c r="B921" s="1"/>
      <c r="H921" s="1"/>
    </row>
    <row r="922" spans="2:8" ht="12.75" x14ac:dyDescent="0.2">
      <c r="B922" s="1"/>
      <c r="H922" s="1"/>
    </row>
    <row r="923" spans="2:8" ht="12.75" x14ac:dyDescent="0.2">
      <c r="B923" s="1"/>
      <c r="H923" s="1"/>
    </row>
    <row r="924" spans="2:8" ht="12.75" x14ac:dyDescent="0.2">
      <c r="B924" s="1"/>
      <c r="H924" s="1"/>
    </row>
    <row r="925" spans="2:8" ht="12.75" x14ac:dyDescent="0.2">
      <c r="B925" s="1"/>
      <c r="H925" s="1"/>
    </row>
    <row r="926" spans="2:8" ht="12.75" x14ac:dyDescent="0.2">
      <c r="B926" s="1"/>
      <c r="H926" s="1"/>
    </row>
    <row r="927" spans="2:8" ht="12.75" x14ac:dyDescent="0.2">
      <c r="B927" s="1"/>
      <c r="H927" s="1"/>
    </row>
    <row r="928" spans="2:8" ht="12.75" x14ac:dyDescent="0.2">
      <c r="B928" s="1"/>
      <c r="H928" s="1"/>
    </row>
    <row r="929" spans="2:8" ht="12.75" x14ac:dyDescent="0.2">
      <c r="B929" s="1"/>
      <c r="H929" s="1"/>
    </row>
    <row r="930" spans="2:8" ht="12.75" x14ac:dyDescent="0.2">
      <c r="B930" s="1"/>
      <c r="H930" s="1"/>
    </row>
    <row r="931" spans="2:8" ht="12.75" x14ac:dyDescent="0.2">
      <c r="B931" s="1"/>
      <c r="H931" s="1"/>
    </row>
    <row r="932" spans="2:8" ht="12.75" x14ac:dyDescent="0.2">
      <c r="B932" s="1"/>
      <c r="H932" s="1"/>
    </row>
  </sheetData>
  <autoFilter ref="A66:AO92" xr:uid="{00000000-0009-0000-0000-000000000000}"/>
  <dataValidations count="9">
    <dataValidation type="list" allowBlank="1" showErrorMessage="1" sqref="M6:M31 M33:M60 M67:M92" xr:uid="{00000000-0002-0000-0000-000000000000}">
      <formula1>"Survey,Canopy,FGD,Community Meetings,Street Play,Pamphlet Distribution,Film Shows,Any Other,Advertisement"</formula1>
    </dataValidation>
    <dataValidation type="list" allowBlank="1" showErrorMessage="1" sqref="L6:L27 L33:L65 L67:L92" xr:uid="{00000000-0002-0000-0000-000001000000}">
      <formula1>"FLP Leader,Friend/Known,Azad Staff,Other NGO,Mobilization Activity,Any Other"</formula1>
    </dataValidation>
    <dataValidation type="list" allowBlank="1" showErrorMessage="1" sqref="E6:E27 E33:E62 E67:E92" xr:uid="{00000000-0002-0000-0000-000002000000}">
      <formula1>"Active,Walkout,Walk in"</formula1>
    </dataValidation>
    <dataValidation type="list" allowBlank="1" showErrorMessage="1" sqref="U6:U31 U33:U60 U67:U92" xr:uid="{00000000-0002-0000-0000-000003000000}">
      <formula1>"8th Pass,10th Pass,12th Pass,Graduate,Post Graduate,Polytechnic Diploma,Vocational Course"</formula1>
    </dataValidation>
    <dataValidation type="list" allowBlank="1" showErrorMessage="1" sqref="Q6:Q31 Q33:Q60 Q67:Q92" xr:uid="{00000000-0002-0000-0000-000004000000}">
      <formula1>"Hindu,Muslim,Christian,Sikh,Jain,Buddhist"</formula1>
    </dataValidation>
    <dataValidation type="list" allowBlank="1" showErrorMessage="1" sqref="V6:V31 AE6:AE31 V33:V60 AE33:AE60 V67:V92 AE67:AE92" xr:uid="{00000000-0002-0000-0000-000005000000}">
      <formula1>"Yes,No"</formula1>
    </dataValidation>
    <dataValidation type="list" allowBlank="1" showErrorMessage="1" sqref="R6:R31 R33:R60 R67:R92" xr:uid="{00000000-0002-0000-0000-000006000000}">
      <formula1>"Unmarried,Married,Divorced,Separated,Single,Widow"</formula1>
    </dataValidation>
    <dataValidation type="list" allowBlank="1" showErrorMessage="1" sqref="P6:P31 P33:P60 P67:P92" xr:uid="{00000000-0002-0000-0000-000007000000}">
      <formula1>"General,OBC,SC,ST"</formula1>
    </dataValidation>
    <dataValidation type="list" allowBlank="1" showErrorMessage="1" sqref="O6:O31 O33:O60 O67:O92" xr:uid="{00000000-0002-0000-0000-000008000000}">
      <formula1>"MGJ,WWW Trainee,Sakha Driver,Family Member,Azad Staff,Sakha Staff,Friend,Any Other,Azad Kishori"</formula1>
    </dataValidation>
  </dataValidations>
  <hyperlinks>
    <hyperlink ref="J4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M79"/>
  <sheetViews>
    <sheetView workbookViewId="0"/>
  </sheetViews>
  <sheetFormatPr defaultColWidth="12.5703125" defaultRowHeight="15.75" customHeight="1" x14ac:dyDescent="0.2"/>
  <cols>
    <col min="1" max="1" width="14.42578125" customWidth="1"/>
    <col min="2" max="2" width="13.7109375" customWidth="1"/>
    <col min="3" max="3" width="25.5703125" customWidth="1"/>
  </cols>
  <sheetData>
    <row r="1" spans="1:65" ht="15.75" customHeight="1" x14ac:dyDescent="0.25">
      <c r="A1" s="51" t="s">
        <v>568</v>
      </c>
      <c r="B1" s="51" t="s">
        <v>569</v>
      </c>
      <c r="C1" s="52" t="s">
        <v>570</v>
      </c>
      <c r="D1" s="52" t="s">
        <v>571</v>
      </c>
      <c r="E1" s="52" t="s">
        <v>572</v>
      </c>
      <c r="F1" s="52" t="s">
        <v>573</v>
      </c>
      <c r="G1" s="52" t="s">
        <v>574</v>
      </c>
      <c r="H1" s="52" t="s">
        <v>575</v>
      </c>
      <c r="I1" s="53" t="s">
        <v>576</v>
      </c>
      <c r="J1" s="53" t="s">
        <v>571</v>
      </c>
      <c r="K1" s="53" t="s">
        <v>577</v>
      </c>
      <c r="L1" s="53" t="s">
        <v>573</v>
      </c>
      <c r="M1" s="53" t="s">
        <v>578</v>
      </c>
      <c r="N1" s="53" t="s">
        <v>575</v>
      </c>
      <c r="O1" s="54" t="s">
        <v>579</v>
      </c>
      <c r="P1" s="54" t="s">
        <v>580</v>
      </c>
      <c r="Q1" s="54" t="s">
        <v>577</v>
      </c>
      <c r="R1" s="54" t="s">
        <v>573</v>
      </c>
      <c r="S1" s="54" t="s">
        <v>578</v>
      </c>
      <c r="T1" s="54" t="s">
        <v>575</v>
      </c>
      <c r="U1" s="55" t="s">
        <v>581</v>
      </c>
      <c r="V1" s="55" t="s">
        <v>580</v>
      </c>
      <c r="W1" s="55" t="s">
        <v>577</v>
      </c>
      <c r="X1" s="55" t="s">
        <v>573</v>
      </c>
      <c r="Y1" s="55" t="s">
        <v>578</v>
      </c>
      <c r="Z1" s="55" t="s">
        <v>575</v>
      </c>
      <c r="AA1" s="56" t="s">
        <v>579</v>
      </c>
      <c r="AB1" s="56" t="s">
        <v>580</v>
      </c>
      <c r="AC1" s="56" t="s">
        <v>577</v>
      </c>
      <c r="AD1" s="56" t="s">
        <v>573</v>
      </c>
      <c r="AE1" s="56" t="s">
        <v>578</v>
      </c>
      <c r="AF1" s="56" t="s">
        <v>575</v>
      </c>
      <c r="AG1" s="57" t="s">
        <v>579</v>
      </c>
      <c r="AH1" s="57" t="s">
        <v>580</v>
      </c>
      <c r="AI1" s="57" t="s">
        <v>577</v>
      </c>
      <c r="AJ1" s="57" t="s">
        <v>573</v>
      </c>
      <c r="AK1" s="57" t="s">
        <v>578</v>
      </c>
      <c r="AL1" s="57" t="s">
        <v>575</v>
      </c>
      <c r="AM1" s="58" t="s">
        <v>581</v>
      </c>
      <c r="AN1" s="58" t="s">
        <v>580</v>
      </c>
      <c r="AO1" s="58" t="s">
        <v>577</v>
      </c>
      <c r="AP1" s="58" t="s">
        <v>573</v>
      </c>
      <c r="AQ1" s="58" t="s">
        <v>578</v>
      </c>
      <c r="AR1" s="58" t="s">
        <v>575</v>
      </c>
      <c r="AS1" s="59" t="s">
        <v>581</v>
      </c>
      <c r="AT1" s="59" t="s">
        <v>580</v>
      </c>
      <c r="AU1" s="59" t="s">
        <v>577</v>
      </c>
      <c r="AV1" s="59" t="s">
        <v>573</v>
      </c>
      <c r="AW1" s="59" t="s">
        <v>578</v>
      </c>
      <c r="AX1" s="59" t="s">
        <v>575</v>
      </c>
      <c r="AY1" s="60"/>
      <c r="AZ1" s="60"/>
      <c r="BA1" s="60"/>
      <c r="BB1" s="60"/>
      <c r="BC1" s="60"/>
      <c r="BD1" s="60"/>
      <c r="BE1" s="60"/>
      <c r="BF1" s="60"/>
      <c r="BG1" s="60"/>
      <c r="BH1" s="60"/>
      <c r="BI1" s="60"/>
      <c r="BJ1" s="60"/>
      <c r="BK1" s="60"/>
      <c r="BL1" s="60"/>
      <c r="BM1" s="61"/>
    </row>
    <row r="2" spans="1:65" x14ac:dyDescent="0.2">
      <c r="A2" s="17" t="s">
        <v>41</v>
      </c>
      <c r="B2" s="17" t="s">
        <v>42</v>
      </c>
      <c r="C2" s="62" t="s">
        <v>582</v>
      </c>
      <c r="I2" s="63" t="s">
        <v>583</v>
      </c>
      <c r="O2" s="63" t="s">
        <v>584</v>
      </c>
      <c r="U2" s="63" t="s">
        <v>585</v>
      </c>
      <c r="AA2" s="63" t="s">
        <v>586</v>
      </c>
      <c r="AG2" s="32"/>
    </row>
    <row r="3" spans="1:65" x14ac:dyDescent="0.2">
      <c r="A3" s="17" t="s">
        <v>50</v>
      </c>
      <c r="B3" s="17" t="s">
        <v>51</v>
      </c>
      <c r="C3" s="62" t="s">
        <v>587</v>
      </c>
      <c r="I3" s="63" t="s">
        <v>588</v>
      </c>
      <c r="O3" s="63" t="s">
        <v>589</v>
      </c>
      <c r="U3" s="32"/>
      <c r="AA3" s="32"/>
      <c r="AG3" s="32"/>
    </row>
    <row r="4" spans="1:65" x14ac:dyDescent="0.2">
      <c r="A4" s="17" t="s">
        <v>56</v>
      </c>
      <c r="B4" s="17" t="s">
        <v>57</v>
      </c>
      <c r="C4" s="62" t="s">
        <v>590</v>
      </c>
      <c r="I4" s="63" t="s">
        <v>591</v>
      </c>
      <c r="O4" s="32"/>
      <c r="U4" s="32"/>
      <c r="AA4" s="32"/>
      <c r="AG4" s="32"/>
    </row>
    <row r="5" spans="1:65" x14ac:dyDescent="0.2">
      <c r="A5" s="17" t="s">
        <v>62</v>
      </c>
      <c r="B5" s="17" t="s">
        <v>63</v>
      </c>
      <c r="C5" s="62" t="s">
        <v>592</v>
      </c>
      <c r="I5" s="63" t="s">
        <v>593</v>
      </c>
      <c r="O5" s="32"/>
      <c r="U5" s="32"/>
      <c r="AA5" s="32"/>
      <c r="AG5" s="32"/>
    </row>
    <row r="6" spans="1:65" x14ac:dyDescent="0.2">
      <c r="A6" s="17" t="s">
        <v>66</v>
      </c>
      <c r="B6" s="17" t="s">
        <v>67</v>
      </c>
      <c r="C6" s="62" t="s">
        <v>594</v>
      </c>
      <c r="I6" s="63" t="s">
        <v>595</v>
      </c>
      <c r="O6" s="32"/>
      <c r="U6" s="32"/>
      <c r="AA6" s="32"/>
      <c r="AG6" s="32"/>
    </row>
    <row r="7" spans="1:65" x14ac:dyDescent="0.2">
      <c r="A7" s="17" t="s">
        <v>71</v>
      </c>
      <c r="B7" s="17" t="s">
        <v>72</v>
      </c>
      <c r="C7" s="62" t="s">
        <v>596</v>
      </c>
      <c r="I7" s="63" t="s">
        <v>597</v>
      </c>
      <c r="O7" s="63" t="s">
        <v>598</v>
      </c>
      <c r="U7" s="63"/>
      <c r="AA7" s="32"/>
      <c r="AG7" s="32"/>
    </row>
    <row r="8" spans="1:65" x14ac:dyDescent="0.2">
      <c r="A8" s="17" t="s">
        <v>76</v>
      </c>
      <c r="B8" s="17" t="s">
        <v>77</v>
      </c>
      <c r="C8" s="62" t="s">
        <v>599</v>
      </c>
      <c r="I8" s="63" t="s">
        <v>600</v>
      </c>
      <c r="O8" s="63" t="s">
        <v>601</v>
      </c>
      <c r="U8" s="63" t="s">
        <v>602</v>
      </c>
      <c r="AA8" s="32"/>
      <c r="AG8" s="32"/>
    </row>
    <row r="9" spans="1:65" x14ac:dyDescent="0.2">
      <c r="A9" s="17" t="s">
        <v>84</v>
      </c>
      <c r="B9" s="17" t="s">
        <v>85</v>
      </c>
      <c r="C9" s="62" t="s">
        <v>603</v>
      </c>
      <c r="I9" s="63" t="s">
        <v>604</v>
      </c>
      <c r="O9" s="63" t="s">
        <v>605</v>
      </c>
      <c r="U9" s="32"/>
      <c r="AA9" s="32"/>
      <c r="AG9" s="32"/>
    </row>
    <row r="10" spans="1:65" x14ac:dyDescent="0.2">
      <c r="A10" s="17" t="s">
        <v>88</v>
      </c>
      <c r="B10" s="17" t="s">
        <v>89</v>
      </c>
      <c r="C10" s="62" t="s">
        <v>606</v>
      </c>
      <c r="I10" s="63" t="s">
        <v>607</v>
      </c>
      <c r="O10" s="63" t="s">
        <v>608</v>
      </c>
      <c r="U10" s="32"/>
      <c r="AA10" s="32"/>
      <c r="AG10" s="32"/>
    </row>
    <row r="11" spans="1:65" x14ac:dyDescent="0.2">
      <c r="A11" s="17" t="s">
        <v>93</v>
      </c>
      <c r="B11" s="17" t="s">
        <v>94</v>
      </c>
      <c r="C11" s="62" t="s">
        <v>609</v>
      </c>
      <c r="I11" s="63" t="s">
        <v>610</v>
      </c>
      <c r="O11" s="63" t="s">
        <v>611</v>
      </c>
      <c r="U11" s="63" t="s">
        <v>612</v>
      </c>
      <c r="AA11" s="63" t="s">
        <v>613</v>
      </c>
      <c r="AG11" s="63" t="s">
        <v>614</v>
      </c>
    </row>
    <row r="12" spans="1:65" ht="12.75" x14ac:dyDescent="0.2">
      <c r="A12" s="17" t="s">
        <v>97</v>
      </c>
      <c r="B12" s="17" t="s">
        <v>98</v>
      </c>
      <c r="C12" s="62" t="s">
        <v>615</v>
      </c>
      <c r="I12" s="63" t="s">
        <v>616</v>
      </c>
      <c r="O12" s="63" t="s">
        <v>617</v>
      </c>
      <c r="U12" s="63" t="s">
        <v>618</v>
      </c>
      <c r="AA12" s="63" t="s">
        <v>619</v>
      </c>
      <c r="AG12" s="32"/>
    </row>
    <row r="13" spans="1:65" ht="12.75" x14ac:dyDescent="0.2">
      <c r="A13" s="17" t="s">
        <v>102</v>
      </c>
      <c r="B13" s="17" t="s">
        <v>103</v>
      </c>
      <c r="C13" s="62" t="s">
        <v>620</v>
      </c>
      <c r="I13" s="63" t="s">
        <v>621</v>
      </c>
      <c r="O13" s="63" t="s">
        <v>622</v>
      </c>
      <c r="U13" s="63" t="s">
        <v>623</v>
      </c>
      <c r="AA13" s="63" t="s">
        <v>624</v>
      </c>
      <c r="AG13" s="32"/>
    </row>
    <row r="14" spans="1:65" ht="12.75" x14ac:dyDescent="0.2">
      <c r="A14" s="17" t="s">
        <v>106</v>
      </c>
      <c r="B14" s="17" t="s">
        <v>107</v>
      </c>
      <c r="C14" s="62" t="s">
        <v>625</v>
      </c>
      <c r="I14" s="63" t="s">
        <v>626</v>
      </c>
      <c r="O14" s="63" t="s">
        <v>627</v>
      </c>
      <c r="U14" s="63" t="s">
        <v>628</v>
      </c>
      <c r="AA14" s="63" t="s">
        <v>629</v>
      </c>
      <c r="AG14" s="32"/>
    </row>
    <row r="15" spans="1:65" ht="12.75" x14ac:dyDescent="0.2">
      <c r="A15" s="17" t="s">
        <v>110</v>
      </c>
      <c r="B15" s="17" t="s">
        <v>111</v>
      </c>
      <c r="C15" s="62" t="s">
        <v>630</v>
      </c>
      <c r="I15" s="32"/>
      <c r="O15" s="32"/>
      <c r="U15" s="32"/>
      <c r="AA15" s="32"/>
      <c r="AG15" s="32"/>
    </row>
    <row r="16" spans="1:65" ht="12.75" x14ac:dyDescent="0.2">
      <c r="A16" s="17" t="s">
        <v>114</v>
      </c>
      <c r="B16" s="17" t="s">
        <v>115</v>
      </c>
      <c r="C16" s="62" t="s">
        <v>631</v>
      </c>
      <c r="I16" s="63" t="s">
        <v>632</v>
      </c>
      <c r="O16" s="63" t="s">
        <v>633</v>
      </c>
      <c r="U16" s="32"/>
      <c r="AA16" s="32"/>
      <c r="AG16" s="32"/>
    </row>
    <row r="17" spans="1:38" ht="12.75" x14ac:dyDescent="0.2">
      <c r="A17" s="17" t="s">
        <v>118</v>
      </c>
      <c r="B17" s="17" t="s">
        <v>119</v>
      </c>
      <c r="C17" s="62" t="s">
        <v>634</v>
      </c>
      <c r="I17" s="63" t="s">
        <v>635</v>
      </c>
      <c r="O17" s="63" t="s">
        <v>636</v>
      </c>
      <c r="U17" s="63" t="s">
        <v>637</v>
      </c>
      <c r="AA17" s="63" t="s">
        <v>638</v>
      </c>
      <c r="AG17" s="63" t="s">
        <v>639</v>
      </c>
    </row>
    <row r="18" spans="1:38" ht="12.75" x14ac:dyDescent="0.2">
      <c r="A18" s="17" t="s">
        <v>122</v>
      </c>
      <c r="B18" s="17" t="s">
        <v>123</v>
      </c>
      <c r="C18" s="62" t="s">
        <v>640</v>
      </c>
      <c r="I18" s="63" t="s">
        <v>641</v>
      </c>
      <c r="O18" s="32"/>
      <c r="U18" s="32"/>
      <c r="AA18" s="32"/>
      <c r="AG18" s="32"/>
    </row>
    <row r="19" spans="1:38" ht="12.75" x14ac:dyDescent="0.2">
      <c r="A19" s="17" t="s">
        <v>126</v>
      </c>
      <c r="B19" s="17" t="s">
        <v>127</v>
      </c>
      <c r="C19" s="62" t="s">
        <v>642</v>
      </c>
      <c r="I19" s="63" t="s">
        <v>643</v>
      </c>
      <c r="O19" s="63" t="s">
        <v>644</v>
      </c>
      <c r="U19" s="63" t="s">
        <v>645</v>
      </c>
      <c r="AA19" s="32"/>
      <c r="AG19" s="32"/>
    </row>
    <row r="20" spans="1:38" ht="12.75" x14ac:dyDescent="0.2">
      <c r="A20" s="17" t="s">
        <v>130</v>
      </c>
      <c r="B20" s="17" t="s">
        <v>131</v>
      </c>
      <c r="C20" s="62" t="s">
        <v>646</v>
      </c>
      <c r="I20" s="63" t="s">
        <v>647</v>
      </c>
      <c r="O20" s="63" t="s">
        <v>648</v>
      </c>
      <c r="U20" s="63" t="s">
        <v>649</v>
      </c>
      <c r="AA20" s="32"/>
      <c r="AG20" s="32"/>
    </row>
    <row r="21" spans="1:38" ht="12.75" x14ac:dyDescent="0.2">
      <c r="A21" s="17" t="s">
        <v>134</v>
      </c>
      <c r="B21" s="17" t="s">
        <v>135</v>
      </c>
      <c r="C21" s="62" t="s">
        <v>650</v>
      </c>
      <c r="I21" s="63" t="s">
        <v>651</v>
      </c>
      <c r="O21" s="63" t="s">
        <v>652</v>
      </c>
      <c r="U21" s="32"/>
      <c r="AA21" s="32"/>
      <c r="AG21" s="32"/>
    </row>
    <row r="22" spans="1:38" ht="12.75" x14ac:dyDescent="0.2">
      <c r="A22" s="17" t="s">
        <v>138</v>
      </c>
      <c r="B22" s="17" t="s">
        <v>139</v>
      </c>
      <c r="C22" s="62" t="s">
        <v>653</v>
      </c>
      <c r="I22" s="63" t="s">
        <v>654</v>
      </c>
      <c r="O22" s="63" t="s">
        <v>655</v>
      </c>
      <c r="U22" s="32"/>
      <c r="AA22" s="32"/>
      <c r="AG22" s="32"/>
    </row>
    <row r="23" spans="1:38" ht="12.75" x14ac:dyDescent="0.2">
      <c r="I23" s="32"/>
      <c r="O23" s="32"/>
      <c r="U23" s="32"/>
      <c r="AG23" s="32"/>
    </row>
    <row r="24" spans="1:38" ht="12.75" x14ac:dyDescent="0.2">
      <c r="A24" s="17" t="s">
        <v>146</v>
      </c>
      <c r="B24" s="17" t="s">
        <v>147</v>
      </c>
      <c r="C24" s="27" t="s">
        <v>656</v>
      </c>
      <c r="D24" s="27" t="s">
        <v>194</v>
      </c>
      <c r="E24" s="27">
        <v>33</v>
      </c>
      <c r="F24" s="27" t="s">
        <v>657</v>
      </c>
      <c r="G24" s="27" t="s">
        <v>658</v>
      </c>
      <c r="H24" s="27">
        <v>9000</v>
      </c>
      <c r="I24" s="32" t="s">
        <v>659</v>
      </c>
      <c r="J24" s="27" t="s">
        <v>660</v>
      </c>
      <c r="K24" s="27">
        <v>56</v>
      </c>
      <c r="L24" s="27" t="s">
        <v>661</v>
      </c>
      <c r="M24" s="27" t="s">
        <v>662</v>
      </c>
      <c r="N24" s="27">
        <v>4000</v>
      </c>
      <c r="O24" s="32" t="s">
        <v>663</v>
      </c>
      <c r="P24" s="27" t="s">
        <v>155</v>
      </c>
      <c r="Q24" s="27">
        <v>54</v>
      </c>
      <c r="R24" s="27" t="s">
        <v>664</v>
      </c>
      <c r="S24" s="27" t="s">
        <v>661</v>
      </c>
      <c r="T24" s="27" t="s">
        <v>661</v>
      </c>
      <c r="U24" s="32" t="s">
        <v>665</v>
      </c>
      <c r="V24" s="27" t="s">
        <v>666</v>
      </c>
      <c r="W24" s="27">
        <v>18</v>
      </c>
      <c r="X24" s="27" t="s">
        <v>661</v>
      </c>
      <c r="Y24" s="27" t="s">
        <v>661</v>
      </c>
      <c r="Z24" s="27" t="s">
        <v>661</v>
      </c>
      <c r="AG24" s="32"/>
    </row>
    <row r="25" spans="1:38" ht="12.75" x14ac:dyDescent="0.2">
      <c r="A25" s="17" t="s">
        <v>159</v>
      </c>
      <c r="B25" s="17" t="s">
        <v>160</v>
      </c>
      <c r="C25" s="27" t="s">
        <v>667</v>
      </c>
      <c r="D25" s="27" t="s">
        <v>167</v>
      </c>
      <c r="E25" s="27">
        <v>35</v>
      </c>
      <c r="F25" s="27" t="s">
        <v>661</v>
      </c>
      <c r="G25" s="27" t="s">
        <v>668</v>
      </c>
      <c r="H25" s="27">
        <v>7000</v>
      </c>
      <c r="I25" s="32" t="s">
        <v>669</v>
      </c>
      <c r="J25" s="27" t="s">
        <v>670</v>
      </c>
      <c r="K25" s="27">
        <v>17</v>
      </c>
      <c r="L25" s="27" t="s">
        <v>671</v>
      </c>
      <c r="M25" s="27" t="s">
        <v>672</v>
      </c>
      <c r="O25" s="32"/>
      <c r="U25" s="32"/>
      <c r="AG25" s="32"/>
    </row>
    <row r="26" spans="1:38" ht="12.75" x14ac:dyDescent="0.2">
      <c r="A26" s="17" t="s">
        <v>171</v>
      </c>
      <c r="B26" s="17" t="s">
        <v>172</v>
      </c>
      <c r="C26" s="27" t="s">
        <v>673</v>
      </c>
      <c r="D26" s="27" t="s">
        <v>264</v>
      </c>
      <c r="E26" s="27">
        <v>58</v>
      </c>
      <c r="F26" s="27" t="s">
        <v>671</v>
      </c>
      <c r="G26" s="27" t="s">
        <v>674</v>
      </c>
      <c r="H26" s="27">
        <v>12000</v>
      </c>
      <c r="I26" s="32" t="s">
        <v>675</v>
      </c>
      <c r="J26" s="27" t="s">
        <v>207</v>
      </c>
      <c r="K26" s="27">
        <v>49</v>
      </c>
      <c r="L26" s="27" t="s">
        <v>676</v>
      </c>
      <c r="M26" s="27" t="s">
        <v>661</v>
      </c>
      <c r="N26" s="27" t="s">
        <v>661</v>
      </c>
      <c r="O26" s="32" t="s">
        <v>677</v>
      </c>
      <c r="P26" s="27" t="s">
        <v>670</v>
      </c>
      <c r="Q26" s="27">
        <v>26</v>
      </c>
      <c r="R26" s="27" t="s">
        <v>678</v>
      </c>
      <c r="S26" s="27" t="s">
        <v>661</v>
      </c>
      <c r="T26" s="27" t="s">
        <v>661</v>
      </c>
      <c r="U26" s="32"/>
      <c r="AG26" s="32"/>
    </row>
    <row r="27" spans="1:38" ht="12.75" x14ac:dyDescent="0.2">
      <c r="A27" s="17" t="s">
        <v>180</v>
      </c>
      <c r="B27" s="17" t="s">
        <v>181</v>
      </c>
      <c r="C27" s="27" t="s">
        <v>679</v>
      </c>
      <c r="D27" s="27" t="s">
        <v>194</v>
      </c>
      <c r="E27" s="27">
        <v>31</v>
      </c>
      <c r="F27" s="27" t="s">
        <v>661</v>
      </c>
      <c r="G27" s="27" t="s">
        <v>680</v>
      </c>
      <c r="H27" s="27">
        <v>10000</v>
      </c>
      <c r="I27" s="32" t="s">
        <v>681</v>
      </c>
      <c r="J27" s="27" t="s">
        <v>682</v>
      </c>
      <c r="K27" s="27">
        <v>50</v>
      </c>
      <c r="L27" s="27" t="s">
        <v>683</v>
      </c>
      <c r="M27" s="27" t="s">
        <v>684</v>
      </c>
      <c r="N27" s="27">
        <v>5000</v>
      </c>
      <c r="O27" s="32" t="s">
        <v>685</v>
      </c>
      <c r="P27" s="27" t="s">
        <v>686</v>
      </c>
      <c r="Q27" s="27">
        <v>7</v>
      </c>
      <c r="R27" s="27" t="s">
        <v>687</v>
      </c>
      <c r="U27" s="32" t="s">
        <v>688</v>
      </c>
      <c r="V27" s="27" t="s">
        <v>689</v>
      </c>
      <c r="W27" s="27">
        <v>5</v>
      </c>
      <c r="X27" s="27" t="s">
        <v>661</v>
      </c>
      <c r="Y27" s="27" t="s">
        <v>661</v>
      </c>
      <c r="Z27" s="27" t="s">
        <v>661</v>
      </c>
      <c r="AG27" s="32"/>
    </row>
    <row r="28" spans="1:38" ht="12.75" x14ac:dyDescent="0.2">
      <c r="A28" s="17" t="s">
        <v>187</v>
      </c>
      <c r="B28" s="27" t="s">
        <v>188</v>
      </c>
      <c r="C28" s="27" t="s">
        <v>690</v>
      </c>
      <c r="D28" s="27" t="s">
        <v>194</v>
      </c>
      <c r="E28" s="27">
        <v>38</v>
      </c>
      <c r="F28" s="27" t="s">
        <v>683</v>
      </c>
      <c r="G28" s="27" t="s">
        <v>691</v>
      </c>
      <c r="H28" s="27">
        <v>8000</v>
      </c>
      <c r="I28" s="32" t="s">
        <v>692</v>
      </c>
      <c r="J28" s="27" t="s">
        <v>693</v>
      </c>
      <c r="K28" s="27">
        <v>16</v>
      </c>
      <c r="L28" s="27" t="s">
        <v>694</v>
      </c>
      <c r="M28" s="27" t="s">
        <v>695</v>
      </c>
      <c r="N28" s="27" t="s">
        <v>661</v>
      </c>
      <c r="O28" s="32" t="s">
        <v>696</v>
      </c>
      <c r="P28" s="27" t="s">
        <v>686</v>
      </c>
      <c r="Q28" s="27">
        <v>13</v>
      </c>
      <c r="R28" s="27" t="s">
        <v>697</v>
      </c>
      <c r="S28" s="27" t="s">
        <v>672</v>
      </c>
      <c r="U28" s="32"/>
      <c r="AG28" s="32"/>
    </row>
    <row r="29" spans="1:38" ht="12.75" x14ac:dyDescent="0.2">
      <c r="A29" s="37" t="s">
        <v>198</v>
      </c>
      <c r="B29" s="27" t="s">
        <v>199</v>
      </c>
      <c r="C29" s="27" t="s">
        <v>698</v>
      </c>
      <c r="D29" s="27" t="s">
        <v>207</v>
      </c>
      <c r="E29" s="27">
        <v>62</v>
      </c>
      <c r="F29" s="27" t="s">
        <v>661</v>
      </c>
      <c r="G29" s="27" t="s">
        <v>699</v>
      </c>
      <c r="H29" s="27">
        <v>10000</v>
      </c>
      <c r="I29" s="32" t="s">
        <v>700</v>
      </c>
      <c r="J29" s="27" t="s">
        <v>316</v>
      </c>
      <c r="K29" s="27">
        <v>31</v>
      </c>
      <c r="L29" s="27" t="s">
        <v>701</v>
      </c>
      <c r="M29" s="27" t="s">
        <v>661</v>
      </c>
      <c r="N29" s="27" t="s">
        <v>661</v>
      </c>
      <c r="O29" s="32" t="s">
        <v>702</v>
      </c>
      <c r="P29" s="27" t="s">
        <v>316</v>
      </c>
      <c r="Q29" s="27">
        <v>34</v>
      </c>
      <c r="R29" s="27" t="s">
        <v>703</v>
      </c>
      <c r="S29" s="27" t="s">
        <v>704</v>
      </c>
      <c r="T29" s="27">
        <v>4000</v>
      </c>
      <c r="U29" s="32" t="s">
        <v>705</v>
      </c>
      <c r="V29" s="27" t="s">
        <v>706</v>
      </c>
      <c r="W29" s="27">
        <v>20</v>
      </c>
      <c r="X29" s="27" t="s">
        <v>707</v>
      </c>
      <c r="Y29" s="27" t="s">
        <v>672</v>
      </c>
      <c r="Z29" s="27" t="s">
        <v>661</v>
      </c>
      <c r="AA29" s="27" t="s">
        <v>708</v>
      </c>
      <c r="AB29" s="27" t="s">
        <v>709</v>
      </c>
      <c r="AC29" s="27">
        <v>18</v>
      </c>
      <c r="AD29" s="27" t="s">
        <v>710</v>
      </c>
      <c r="AE29" s="27" t="s">
        <v>672</v>
      </c>
      <c r="AG29" s="32" t="s">
        <v>711</v>
      </c>
      <c r="AH29" s="27" t="s">
        <v>706</v>
      </c>
      <c r="AI29" s="27">
        <v>12</v>
      </c>
      <c r="AJ29" s="27" t="s">
        <v>683</v>
      </c>
      <c r="AK29" s="27" t="s">
        <v>661</v>
      </c>
      <c r="AL29" s="27" t="s">
        <v>661</v>
      </c>
    </row>
    <row r="30" spans="1:38" ht="12.75" x14ac:dyDescent="0.2">
      <c r="A30" s="27" t="s">
        <v>211</v>
      </c>
      <c r="B30" s="27" t="s">
        <v>212</v>
      </c>
      <c r="C30" s="27" t="s">
        <v>712</v>
      </c>
      <c r="D30" s="27" t="s">
        <v>194</v>
      </c>
      <c r="E30" s="27">
        <v>31</v>
      </c>
      <c r="F30" s="27" t="s">
        <v>697</v>
      </c>
      <c r="G30" s="27" t="s">
        <v>713</v>
      </c>
      <c r="H30" s="27">
        <v>12000</v>
      </c>
      <c r="I30" s="32" t="s">
        <v>714</v>
      </c>
      <c r="J30" s="27" t="s">
        <v>715</v>
      </c>
      <c r="K30" s="27">
        <v>6</v>
      </c>
      <c r="L30" s="27" t="s">
        <v>716</v>
      </c>
      <c r="M30" s="27" t="s">
        <v>672</v>
      </c>
      <c r="O30" s="32"/>
      <c r="U30" s="32"/>
      <c r="AG30" s="32"/>
    </row>
    <row r="31" spans="1:38" ht="12.75" x14ac:dyDescent="0.2">
      <c r="A31" s="27" t="s">
        <v>218</v>
      </c>
      <c r="B31" s="27" t="s">
        <v>219</v>
      </c>
      <c r="C31" s="27" t="s">
        <v>717</v>
      </c>
      <c r="D31" s="27" t="s">
        <v>670</v>
      </c>
      <c r="E31" s="27">
        <v>32</v>
      </c>
      <c r="F31" s="27" t="s">
        <v>718</v>
      </c>
      <c r="G31" s="27" t="s">
        <v>719</v>
      </c>
      <c r="H31" s="27">
        <v>10000</v>
      </c>
      <c r="I31" s="27" t="s">
        <v>720</v>
      </c>
      <c r="J31" s="27" t="s">
        <v>721</v>
      </c>
      <c r="K31" s="27">
        <v>64</v>
      </c>
      <c r="L31" s="27" t="s">
        <v>697</v>
      </c>
      <c r="M31" s="27" t="s">
        <v>661</v>
      </c>
      <c r="N31" s="27" t="s">
        <v>661</v>
      </c>
      <c r="O31" s="32" t="s">
        <v>722</v>
      </c>
      <c r="P31" s="27" t="s">
        <v>723</v>
      </c>
      <c r="Q31" s="27">
        <v>52</v>
      </c>
      <c r="R31" s="27" t="s">
        <v>661</v>
      </c>
      <c r="S31" s="27" t="s">
        <v>661</v>
      </c>
      <c r="T31" s="27" t="s">
        <v>661</v>
      </c>
      <c r="U31" s="32"/>
      <c r="AG31" s="32"/>
    </row>
    <row r="32" spans="1:38" ht="12.75" x14ac:dyDescent="0.2">
      <c r="A32" s="27" t="s">
        <v>228</v>
      </c>
      <c r="B32" s="27" t="s">
        <v>229</v>
      </c>
      <c r="C32" s="27" t="s">
        <v>724</v>
      </c>
      <c r="D32" s="27" t="s">
        <v>194</v>
      </c>
      <c r="E32" s="27">
        <v>22</v>
      </c>
      <c r="F32" s="27" t="s">
        <v>725</v>
      </c>
      <c r="G32" s="27" t="s">
        <v>726</v>
      </c>
      <c r="H32" s="27">
        <v>5000</v>
      </c>
      <c r="I32" s="27" t="s">
        <v>727</v>
      </c>
      <c r="J32" s="27" t="s">
        <v>715</v>
      </c>
      <c r="K32" s="27" t="s">
        <v>728</v>
      </c>
      <c r="L32" s="27" t="s">
        <v>661</v>
      </c>
      <c r="M32" s="27" t="s">
        <v>661</v>
      </c>
      <c r="N32" s="27" t="s">
        <v>661</v>
      </c>
      <c r="O32" s="32"/>
      <c r="U32" s="32"/>
      <c r="AG32" s="32"/>
    </row>
    <row r="33" spans="1:44" ht="12.75" x14ac:dyDescent="0.2">
      <c r="A33" s="27" t="s">
        <v>237</v>
      </c>
      <c r="B33" s="27" t="s">
        <v>238</v>
      </c>
      <c r="C33" s="27" t="s">
        <v>729</v>
      </c>
      <c r="D33" s="27" t="s">
        <v>194</v>
      </c>
      <c r="E33" s="27">
        <v>35</v>
      </c>
      <c r="F33" s="27" t="s">
        <v>730</v>
      </c>
      <c r="G33" s="27" t="s">
        <v>731</v>
      </c>
      <c r="H33" s="27">
        <v>9000</v>
      </c>
      <c r="I33" s="27" t="s">
        <v>732</v>
      </c>
      <c r="J33" s="27" t="s">
        <v>660</v>
      </c>
      <c r="K33" s="27">
        <v>70</v>
      </c>
      <c r="L33" s="27" t="s">
        <v>661</v>
      </c>
      <c r="M33" s="27" t="s">
        <v>661</v>
      </c>
      <c r="N33" s="27" t="s">
        <v>661</v>
      </c>
      <c r="O33" s="27" t="s">
        <v>733</v>
      </c>
      <c r="P33" s="27" t="s">
        <v>155</v>
      </c>
      <c r="Q33" s="27">
        <v>65</v>
      </c>
      <c r="R33" s="27" t="s">
        <v>661</v>
      </c>
      <c r="S33" s="27" t="s">
        <v>661</v>
      </c>
      <c r="T33" s="27" t="s">
        <v>661</v>
      </c>
      <c r="U33" s="32"/>
      <c r="AG33" s="32"/>
    </row>
    <row r="34" spans="1:44" ht="15" x14ac:dyDescent="0.25">
      <c r="A34" s="27" t="s">
        <v>245</v>
      </c>
      <c r="B34" s="24" t="s">
        <v>246</v>
      </c>
      <c r="C34" s="27" t="s">
        <v>734</v>
      </c>
      <c r="D34" s="27" t="s">
        <v>682</v>
      </c>
      <c r="E34" s="27">
        <v>50</v>
      </c>
      <c r="F34" s="27" t="s">
        <v>703</v>
      </c>
      <c r="G34" s="27" t="s">
        <v>735</v>
      </c>
      <c r="H34" s="27">
        <v>8000</v>
      </c>
      <c r="I34" s="27" t="s">
        <v>736</v>
      </c>
      <c r="J34" s="27" t="s">
        <v>207</v>
      </c>
      <c r="K34" s="27">
        <v>45</v>
      </c>
      <c r="L34" s="27" t="s">
        <v>718</v>
      </c>
      <c r="M34" s="27" t="s">
        <v>661</v>
      </c>
      <c r="N34" s="27" t="s">
        <v>661</v>
      </c>
      <c r="U34" s="32"/>
      <c r="AG34" s="32"/>
    </row>
    <row r="35" spans="1:44" ht="12.75" x14ac:dyDescent="0.2">
      <c r="A35" s="27" t="s">
        <v>255</v>
      </c>
      <c r="B35" s="27" t="s">
        <v>256</v>
      </c>
      <c r="C35" s="27" t="s">
        <v>737</v>
      </c>
      <c r="D35" s="27" t="s">
        <v>682</v>
      </c>
      <c r="E35" s="27">
        <v>60</v>
      </c>
      <c r="F35" s="27" t="s">
        <v>661</v>
      </c>
      <c r="G35" s="27" t="s">
        <v>661</v>
      </c>
      <c r="H35" s="27" t="s">
        <v>661</v>
      </c>
      <c r="I35" s="27" t="s">
        <v>738</v>
      </c>
      <c r="J35" s="27" t="s">
        <v>670</v>
      </c>
      <c r="K35" s="27">
        <v>25</v>
      </c>
      <c r="L35" s="27" t="s">
        <v>739</v>
      </c>
      <c r="M35" s="27" t="s">
        <v>658</v>
      </c>
      <c r="N35" s="27">
        <v>8000</v>
      </c>
      <c r="U35" s="32"/>
      <c r="AG35" s="32"/>
    </row>
    <row r="36" spans="1:44" ht="15" x14ac:dyDescent="0.25">
      <c r="A36" s="27" t="s">
        <v>267</v>
      </c>
      <c r="B36" s="24" t="s">
        <v>268</v>
      </c>
      <c r="C36" s="27" t="s">
        <v>740</v>
      </c>
      <c r="D36" s="27" t="s">
        <v>194</v>
      </c>
      <c r="E36" s="27">
        <v>41</v>
      </c>
      <c r="F36" s="27" t="s">
        <v>703</v>
      </c>
      <c r="G36" s="27" t="s">
        <v>741</v>
      </c>
      <c r="H36" s="27">
        <v>15000</v>
      </c>
      <c r="I36" s="27" t="s">
        <v>742</v>
      </c>
      <c r="J36" s="27" t="s">
        <v>686</v>
      </c>
      <c r="K36" s="27">
        <v>9</v>
      </c>
      <c r="L36" s="27" t="s">
        <v>743</v>
      </c>
      <c r="M36" s="27" t="s">
        <v>672</v>
      </c>
      <c r="U36" s="32"/>
      <c r="AG36" s="32"/>
    </row>
    <row r="37" spans="1:44" ht="12.75" x14ac:dyDescent="0.2">
      <c r="A37" s="27" t="s">
        <v>273</v>
      </c>
      <c r="B37" s="27" t="s">
        <v>274</v>
      </c>
      <c r="C37" s="27" t="s">
        <v>744</v>
      </c>
      <c r="D37" s="27" t="s">
        <v>682</v>
      </c>
      <c r="E37" s="27">
        <v>50</v>
      </c>
      <c r="F37" s="27" t="s">
        <v>661</v>
      </c>
      <c r="G37" s="27" t="s">
        <v>745</v>
      </c>
      <c r="H37" s="27">
        <v>10000</v>
      </c>
      <c r="I37" s="27" t="s">
        <v>746</v>
      </c>
      <c r="J37" s="27" t="s">
        <v>207</v>
      </c>
      <c r="K37" s="27">
        <v>42</v>
      </c>
      <c r="L37" s="27" t="s">
        <v>661</v>
      </c>
      <c r="M37" s="27" t="s">
        <v>661</v>
      </c>
      <c r="N37" s="27" t="s">
        <v>661</v>
      </c>
      <c r="O37" s="27" t="s">
        <v>747</v>
      </c>
      <c r="P37" s="27" t="s">
        <v>670</v>
      </c>
      <c r="Q37" s="27">
        <v>27</v>
      </c>
      <c r="R37" s="27" t="s">
        <v>748</v>
      </c>
      <c r="S37" s="27" t="s">
        <v>749</v>
      </c>
      <c r="T37" s="27">
        <v>10000</v>
      </c>
      <c r="U37" s="32" t="s">
        <v>750</v>
      </c>
      <c r="V37" s="27" t="s">
        <v>670</v>
      </c>
      <c r="W37" s="27">
        <v>25</v>
      </c>
      <c r="X37" s="27" t="s">
        <v>751</v>
      </c>
      <c r="Y37" s="27" t="s">
        <v>661</v>
      </c>
      <c r="Z37" s="27" t="s">
        <v>661</v>
      </c>
      <c r="AG37" s="32"/>
    </row>
    <row r="38" spans="1:44" ht="12.75" x14ac:dyDescent="0.2">
      <c r="A38" s="27" t="s">
        <v>283</v>
      </c>
      <c r="B38" s="27" t="s">
        <v>284</v>
      </c>
      <c r="C38" s="27" t="s">
        <v>752</v>
      </c>
      <c r="D38" s="27" t="s">
        <v>194</v>
      </c>
      <c r="E38" s="27">
        <v>40</v>
      </c>
      <c r="F38" s="27" t="s">
        <v>694</v>
      </c>
      <c r="G38" s="27" t="s">
        <v>753</v>
      </c>
      <c r="H38" s="27">
        <v>10000</v>
      </c>
      <c r="I38" s="27" t="s">
        <v>754</v>
      </c>
      <c r="J38" s="27" t="s">
        <v>755</v>
      </c>
      <c r="K38" s="27">
        <v>13</v>
      </c>
      <c r="L38" s="27" t="s">
        <v>756</v>
      </c>
      <c r="M38" s="27" t="s">
        <v>672</v>
      </c>
      <c r="N38" s="27" t="s">
        <v>661</v>
      </c>
      <c r="O38" s="27" t="s">
        <v>757</v>
      </c>
      <c r="P38" s="27" t="s">
        <v>155</v>
      </c>
      <c r="Q38" s="27">
        <v>68</v>
      </c>
      <c r="R38" s="27" t="s">
        <v>683</v>
      </c>
      <c r="S38" s="27" t="s">
        <v>661</v>
      </c>
      <c r="T38" s="27" t="s">
        <v>661</v>
      </c>
      <c r="U38" s="32" t="s">
        <v>758</v>
      </c>
      <c r="V38" s="27" t="s">
        <v>207</v>
      </c>
      <c r="W38" s="27">
        <v>53</v>
      </c>
      <c r="X38" s="27" t="s">
        <v>759</v>
      </c>
      <c r="Y38" s="27" t="s">
        <v>661</v>
      </c>
      <c r="Z38" s="27" t="s">
        <v>661</v>
      </c>
      <c r="AA38" s="64" t="s">
        <v>760</v>
      </c>
      <c r="AB38" s="27" t="s">
        <v>670</v>
      </c>
      <c r="AC38" s="27">
        <v>26</v>
      </c>
      <c r="AD38" s="27" t="s">
        <v>694</v>
      </c>
    </row>
    <row r="39" spans="1:44" ht="15" x14ac:dyDescent="0.2">
      <c r="A39" s="27" t="s">
        <v>293</v>
      </c>
      <c r="B39" s="46" t="s">
        <v>294</v>
      </c>
      <c r="C39" s="27" t="s">
        <v>761</v>
      </c>
      <c r="D39" s="27" t="s">
        <v>167</v>
      </c>
      <c r="E39" s="27">
        <v>50</v>
      </c>
      <c r="F39" s="27" t="s">
        <v>661</v>
      </c>
      <c r="G39" s="27" t="s">
        <v>661</v>
      </c>
      <c r="H39" s="27" t="s">
        <v>661</v>
      </c>
      <c r="I39" s="27" t="s">
        <v>762</v>
      </c>
      <c r="J39" s="27" t="s">
        <v>682</v>
      </c>
      <c r="K39" s="27">
        <v>60</v>
      </c>
      <c r="L39" s="27" t="s">
        <v>661</v>
      </c>
      <c r="M39" s="27" t="s">
        <v>661</v>
      </c>
      <c r="N39" s="27" t="s">
        <v>661</v>
      </c>
      <c r="O39" s="27" t="s">
        <v>763</v>
      </c>
      <c r="P39" s="27" t="s">
        <v>670</v>
      </c>
      <c r="Q39" s="27">
        <v>32</v>
      </c>
      <c r="R39" s="27" t="s">
        <v>703</v>
      </c>
      <c r="S39" s="27" t="s">
        <v>764</v>
      </c>
      <c r="T39" s="27">
        <v>7000</v>
      </c>
      <c r="U39" s="32" t="s">
        <v>765</v>
      </c>
      <c r="V39" s="27" t="s">
        <v>670</v>
      </c>
      <c r="W39" s="27">
        <v>22</v>
      </c>
      <c r="X39" s="27" t="s">
        <v>766</v>
      </c>
      <c r="Y39" s="27" t="s">
        <v>767</v>
      </c>
      <c r="Z39" s="27">
        <v>8000</v>
      </c>
      <c r="AA39" s="27" t="s">
        <v>768</v>
      </c>
      <c r="AB39" s="27" t="s">
        <v>670</v>
      </c>
      <c r="AC39" s="27">
        <v>20</v>
      </c>
      <c r="AD39" s="27" t="s">
        <v>694</v>
      </c>
      <c r="AE39" s="27" t="s">
        <v>661</v>
      </c>
      <c r="AF39" s="27" t="s">
        <v>769</v>
      </c>
      <c r="AG39" s="27" t="s">
        <v>325</v>
      </c>
      <c r="AH39" s="27">
        <v>24</v>
      </c>
      <c r="AI39" s="27" t="s">
        <v>203</v>
      </c>
      <c r="AJ39" s="27" t="s">
        <v>661</v>
      </c>
      <c r="AK39" s="27" t="s">
        <v>661</v>
      </c>
      <c r="AL39" s="27" t="s">
        <v>770</v>
      </c>
      <c r="AM39" s="27" t="s">
        <v>325</v>
      </c>
      <c r="AN39" s="27">
        <v>18</v>
      </c>
      <c r="AO39" s="27" t="s">
        <v>771</v>
      </c>
      <c r="AP39" s="27" t="s">
        <v>661</v>
      </c>
      <c r="AQ39" s="27" t="s">
        <v>661</v>
      </c>
      <c r="AR39" s="27" t="s">
        <v>661</v>
      </c>
    </row>
    <row r="40" spans="1:44" ht="12.75" x14ac:dyDescent="0.2">
      <c r="A40" s="27" t="s">
        <v>302</v>
      </c>
      <c r="B40" s="27" t="s">
        <v>303</v>
      </c>
      <c r="C40" s="27" t="s">
        <v>772</v>
      </c>
      <c r="D40" s="27" t="s">
        <v>264</v>
      </c>
      <c r="E40" s="27">
        <v>50</v>
      </c>
      <c r="F40" s="27" t="s">
        <v>661</v>
      </c>
      <c r="G40" s="27" t="s">
        <v>773</v>
      </c>
      <c r="H40" s="27">
        <v>5000</v>
      </c>
      <c r="I40" s="27" t="s">
        <v>774</v>
      </c>
      <c r="J40" s="27" t="s">
        <v>207</v>
      </c>
      <c r="K40" s="27">
        <v>42</v>
      </c>
      <c r="L40" s="27" t="s">
        <v>661</v>
      </c>
      <c r="M40" s="27" t="s">
        <v>775</v>
      </c>
      <c r="N40" s="27">
        <v>3000</v>
      </c>
      <c r="O40" s="27" t="s">
        <v>776</v>
      </c>
      <c r="P40" s="27" t="s">
        <v>316</v>
      </c>
      <c r="Q40" s="27">
        <v>18</v>
      </c>
      <c r="R40" s="27" t="s">
        <v>739</v>
      </c>
      <c r="S40" s="27" t="s">
        <v>661</v>
      </c>
      <c r="T40" s="27" t="s">
        <v>661</v>
      </c>
      <c r="U40" s="32" t="s">
        <v>777</v>
      </c>
      <c r="V40" s="27" t="s">
        <v>316</v>
      </c>
      <c r="W40" s="27">
        <v>14</v>
      </c>
      <c r="X40" s="27" t="s">
        <v>756</v>
      </c>
      <c r="Y40" s="27" t="s">
        <v>661</v>
      </c>
      <c r="Z40" s="27" t="s">
        <v>661</v>
      </c>
      <c r="AA40" s="27" t="s">
        <v>778</v>
      </c>
      <c r="AB40" s="27" t="s">
        <v>666</v>
      </c>
      <c r="AC40" s="27">
        <v>13</v>
      </c>
      <c r="AD40" s="27" t="s">
        <v>779</v>
      </c>
      <c r="AF40" s="27" t="s">
        <v>780</v>
      </c>
      <c r="AG40" s="27" t="s">
        <v>781</v>
      </c>
      <c r="AH40" s="27" t="s">
        <v>664</v>
      </c>
    </row>
    <row r="41" spans="1:44" ht="12.75" x14ac:dyDescent="0.2">
      <c r="A41" s="27" t="s">
        <v>312</v>
      </c>
      <c r="B41" s="27" t="s">
        <v>313</v>
      </c>
      <c r="C41" s="27" t="s">
        <v>782</v>
      </c>
      <c r="D41" s="27" t="s">
        <v>167</v>
      </c>
      <c r="E41" s="27">
        <v>58</v>
      </c>
      <c r="F41" s="27" t="s">
        <v>661</v>
      </c>
      <c r="G41" s="27" t="s">
        <v>783</v>
      </c>
      <c r="H41" s="27">
        <v>6000</v>
      </c>
      <c r="I41" s="27" t="s">
        <v>784</v>
      </c>
      <c r="J41" s="27" t="s">
        <v>682</v>
      </c>
      <c r="K41" s="27">
        <v>66</v>
      </c>
      <c r="L41" s="27" t="s">
        <v>739</v>
      </c>
      <c r="M41" s="27" t="s">
        <v>785</v>
      </c>
      <c r="N41" s="27">
        <v>5000</v>
      </c>
      <c r="O41" s="27" t="s">
        <v>786</v>
      </c>
      <c r="P41" s="27" t="s">
        <v>325</v>
      </c>
      <c r="Q41" s="27">
        <v>25</v>
      </c>
      <c r="R41" s="27" t="s">
        <v>787</v>
      </c>
      <c r="S41" s="27" t="s">
        <v>661</v>
      </c>
      <c r="T41" s="27" t="s">
        <v>661</v>
      </c>
      <c r="U41" s="32" t="s">
        <v>661</v>
      </c>
    </row>
    <row r="42" spans="1:44" ht="12.75" x14ac:dyDescent="0.2">
      <c r="A42" s="27" t="s">
        <v>319</v>
      </c>
      <c r="B42" s="27" t="s">
        <v>320</v>
      </c>
      <c r="C42" s="27" t="s">
        <v>788</v>
      </c>
      <c r="D42" s="27" t="s">
        <v>264</v>
      </c>
      <c r="E42" s="27">
        <v>54</v>
      </c>
      <c r="F42" s="27" t="s">
        <v>661</v>
      </c>
      <c r="G42" s="27" t="s">
        <v>783</v>
      </c>
      <c r="H42" s="27">
        <v>8000</v>
      </c>
      <c r="I42" s="27" t="s">
        <v>789</v>
      </c>
      <c r="J42" s="27" t="s">
        <v>670</v>
      </c>
      <c r="K42" s="27">
        <v>27</v>
      </c>
      <c r="L42" s="27" t="s">
        <v>790</v>
      </c>
      <c r="M42" s="27" t="s">
        <v>791</v>
      </c>
      <c r="N42" s="27">
        <v>8000</v>
      </c>
      <c r="O42" s="27" t="s">
        <v>792</v>
      </c>
      <c r="P42" s="27" t="s">
        <v>167</v>
      </c>
      <c r="Q42" s="27">
        <v>50</v>
      </c>
      <c r="R42" s="27" t="s">
        <v>661</v>
      </c>
      <c r="S42" s="27" t="s">
        <v>793</v>
      </c>
      <c r="T42" s="27" t="s">
        <v>661</v>
      </c>
      <c r="U42" s="32"/>
    </row>
    <row r="43" spans="1:44" ht="12.75" x14ac:dyDescent="0.2">
      <c r="A43" s="27" t="s">
        <v>328</v>
      </c>
      <c r="B43" s="27" t="s">
        <v>329</v>
      </c>
      <c r="C43" s="27" t="s">
        <v>794</v>
      </c>
      <c r="D43" s="27" t="s">
        <v>264</v>
      </c>
      <c r="E43" s="27">
        <v>38</v>
      </c>
      <c r="F43" s="27" t="s">
        <v>661</v>
      </c>
      <c r="G43" s="27" t="s">
        <v>783</v>
      </c>
      <c r="H43" s="27">
        <v>8000</v>
      </c>
      <c r="I43" s="27" t="s">
        <v>795</v>
      </c>
      <c r="J43" s="27" t="s">
        <v>167</v>
      </c>
      <c r="K43" s="27">
        <v>35</v>
      </c>
      <c r="L43" s="27" t="s">
        <v>661</v>
      </c>
      <c r="M43" s="27" t="s">
        <v>661</v>
      </c>
      <c r="N43" s="27" t="s">
        <v>661</v>
      </c>
      <c r="O43" s="27" t="s">
        <v>796</v>
      </c>
      <c r="P43" s="27" t="s">
        <v>797</v>
      </c>
      <c r="Q43" s="27">
        <v>15</v>
      </c>
      <c r="R43" s="27" t="s">
        <v>798</v>
      </c>
      <c r="S43" s="27" t="s">
        <v>672</v>
      </c>
      <c r="U43" s="32" t="s">
        <v>799</v>
      </c>
      <c r="V43" s="27" t="s">
        <v>316</v>
      </c>
      <c r="W43" s="27">
        <v>12</v>
      </c>
      <c r="X43" s="27" t="s">
        <v>703</v>
      </c>
      <c r="Y43" s="27" t="s">
        <v>661</v>
      </c>
      <c r="Z43" s="27" t="s">
        <v>661</v>
      </c>
      <c r="AA43" s="27" t="s">
        <v>800</v>
      </c>
      <c r="AB43" s="27" t="s">
        <v>316</v>
      </c>
      <c r="AC43" s="27">
        <v>6</v>
      </c>
      <c r="AD43" s="27" t="s">
        <v>801</v>
      </c>
      <c r="AF43" s="27" t="s">
        <v>661</v>
      </c>
      <c r="AG43" s="27" t="s">
        <v>661</v>
      </c>
      <c r="AH43" s="27" t="s">
        <v>661</v>
      </c>
    </row>
    <row r="44" spans="1:44" ht="12.75" x14ac:dyDescent="0.2">
      <c r="A44" s="27" t="s">
        <v>337</v>
      </c>
      <c r="B44" s="27" t="s">
        <v>338</v>
      </c>
      <c r="C44" s="27" t="s">
        <v>802</v>
      </c>
      <c r="D44" s="27" t="s">
        <v>670</v>
      </c>
      <c r="E44" s="27">
        <v>16</v>
      </c>
      <c r="F44" s="27" t="s">
        <v>671</v>
      </c>
      <c r="G44" s="27" t="s">
        <v>803</v>
      </c>
      <c r="H44" s="27">
        <v>2000</v>
      </c>
      <c r="U44" s="32"/>
    </row>
    <row r="45" spans="1:44" ht="12.75" x14ac:dyDescent="0.2">
      <c r="A45" s="27" t="s">
        <v>348</v>
      </c>
      <c r="B45" s="27" t="s">
        <v>349</v>
      </c>
      <c r="C45" s="27" t="s">
        <v>804</v>
      </c>
      <c r="D45" s="27" t="s">
        <v>207</v>
      </c>
      <c r="E45" s="27">
        <v>43</v>
      </c>
      <c r="F45" s="27" t="s">
        <v>661</v>
      </c>
      <c r="G45" s="27" t="s">
        <v>805</v>
      </c>
      <c r="H45" s="27">
        <v>3000</v>
      </c>
      <c r="I45" s="27" t="s">
        <v>806</v>
      </c>
      <c r="J45" s="27" t="s">
        <v>670</v>
      </c>
      <c r="K45" s="27">
        <v>21</v>
      </c>
      <c r="L45" s="27" t="s">
        <v>807</v>
      </c>
      <c r="M45" s="27" t="s">
        <v>695</v>
      </c>
      <c r="O45" s="27" t="s">
        <v>808</v>
      </c>
      <c r="P45" s="27" t="s">
        <v>325</v>
      </c>
      <c r="Q45" s="27">
        <v>18</v>
      </c>
      <c r="R45" s="27" t="s">
        <v>751</v>
      </c>
      <c r="S45" s="27" t="s">
        <v>661</v>
      </c>
      <c r="T45" s="27" t="s">
        <v>661</v>
      </c>
      <c r="U45" s="32" t="s">
        <v>809</v>
      </c>
      <c r="V45" s="27" t="s">
        <v>316</v>
      </c>
      <c r="W45" s="27">
        <v>15</v>
      </c>
      <c r="X45" s="27" t="s">
        <v>751</v>
      </c>
      <c r="Y45" s="27" t="s">
        <v>661</v>
      </c>
      <c r="Z45" s="27" t="s">
        <v>661</v>
      </c>
    </row>
    <row r="46" spans="1:44" ht="15" x14ac:dyDescent="0.2">
      <c r="A46" s="27" t="s">
        <v>357</v>
      </c>
      <c r="B46" s="46" t="s">
        <v>358</v>
      </c>
      <c r="C46" s="27" t="s">
        <v>810</v>
      </c>
      <c r="D46" s="27" t="s">
        <v>194</v>
      </c>
      <c r="E46" s="27">
        <v>36</v>
      </c>
      <c r="F46" s="27" t="s">
        <v>694</v>
      </c>
      <c r="G46" s="27" t="s">
        <v>811</v>
      </c>
      <c r="H46" s="27">
        <v>5000</v>
      </c>
      <c r="U46" s="32"/>
    </row>
    <row r="47" spans="1:44" ht="15" x14ac:dyDescent="0.2">
      <c r="A47" s="27" t="s">
        <v>366</v>
      </c>
      <c r="B47" s="46" t="s">
        <v>367</v>
      </c>
      <c r="C47" s="27" t="s">
        <v>812</v>
      </c>
      <c r="D47" s="27" t="s">
        <v>194</v>
      </c>
      <c r="E47" s="27">
        <v>38</v>
      </c>
      <c r="F47" s="27" t="s">
        <v>703</v>
      </c>
      <c r="G47" s="27" t="s">
        <v>813</v>
      </c>
      <c r="H47" s="27">
        <v>10000</v>
      </c>
      <c r="I47" s="27" t="s">
        <v>814</v>
      </c>
      <c r="J47" s="27" t="s">
        <v>689</v>
      </c>
      <c r="K47" s="27">
        <v>10</v>
      </c>
      <c r="L47" s="27" t="s">
        <v>676</v>
      </c>
      <c r="M47" s="27" t="s">
        <v>695</v>
      </c>
      <c r="O47" s="27" t="s">
        <v>815</v>
      </c>
      <c r="P47" s="27" t="s">
        <v>715</v>
      </c>
      <c r="Q47" s="27">
        <v>9</v>
      </c>
      <c r="R47" s="27" t="s">
        <v>739</v>
      </c>
      <c r="U47" s="32"/>
    </row>
    <row r="48" spans="1:44" ht="15" x14ac:dyDescent="0.2">
      <c r="A48" s="27" t="s">
        <v>373</v>
      </c>
      <c r="B48" s="46" t="s">
        <v>374</v>
      </c>
      <c r="C48" s="27" t="s">
        <v>816</v>
      </c>
      <c r="D48" s="27" t="s">
        <v>194</v>
      </c>
      <c r="E48" s="27">
        <v>35</v>
      </c>
      <c r="F48" s="27" t="s">
        <v>703</v>
      </c>
      <c r="G48" s="27" t="s">
        <v>753</v>
      </c>
      <c r="H48" s="27">
        <v>6000</v>
      </c>
      <c r="I48" s="27" t="s">
        <v>817</v>
      </c>
      <c r="J48" s="27" t="s">
        <v>689</v>
      </c>
      <c r="K48" s="27">
        <v>4</v>
      </c>
      <c r="L48" s="27" t="s">
        <v>661</v>
      </c>
      <c r="M48" s="27" t="s">
        <v>661</v>
      </c>
      <c r="O48" s="27" t="s">
        <v>818</v>
      </c>
      <c r="P48" s="27" t="s">
        <v>715</v>
      </c>
      <c r="Q48" s="27">
        <v>1</v>
      </c>
      <c r="R48" s="27" t="s">
        <v>661</v>
      </c>
      <c r="S48" s="27" t="s">
        <v>661</v>
      </c>
      <c r="T48" s="27" t="s">
        <v>661</v>
      </c>
      <c r="U48" s="32"/>
    </row>
    <row r="49" spans="1:50" ht="15" x14ac:dyDescent="0.2">
      <c r="A49" s="27" t="s">
        <v>380</v>
      </c>
      <c r="B49" s="46" t="s">
        <v>381</v>
      </c>
      <c r="C49" s="27" t="s">
        <v>819</v>
      </c>
      <c r="D49" s="27" t="s">
        <v>194</v>
      </c>
      <c r="E49" s="27">
        <v>45</v>
      </c>
      <c r="F49" s="27" t="s">
        <v>751</v>
      </c>
      <c r="G49" s="27" t="s">
        <v>456</v>
      </c>
      <c r="H49" s="27">
        <v>8000</v>
      </c>
      <c r="I49" s="27" t="s">
        <v>820</v>
      </c>
      <c r="J49" s="27" t="s">
        <v>689</v>
      </c>
      <c r="K49" s="27">
        <v>17</v>
      </c>
      <c r="L49" s="27" t="s">
        <v>751</v>
      </c>
      <c r="M49" s="27" t="s">
        <v>695</v>
      </c>
      <c r="O49" s="27" t="s">
        <v>821</v>
      </c>
      <c r="P49" s="27" t="s">
        <v>660</v>
      </c>
      <c r="Q49" s="27">
        <v>72</v>
      </c>
      <c r="R49" s="27" t="s">
        <v>683</v>
      </c>
      <c r="S49" s="27" t="s">
        <v>661</v>
      </c>
      <c r="T49" s="27" t="s">
        <v>661</v>
      </c>
      <c r="U49" s="27" t="s">
        <v>822</v>
      </c>
      <c r="V49" s="27" t="s">
        <v>155</v>
      </c>
      <c r="W49" s="27">
        <v>59</v>
      </c>
      <c r="X49" s="27" t="s">
        <v>661</v>
      </c>
    </row>
    <row r="50" spans="1:50" ht="15" x14ac:dyDescent="0.2">
      <c r="A50" s="27" t="s">
        <v>388</v>
      </c>
      <c r="B50" s="46" t="s">
        <v>389</v>
      </c>
      <c r="C50" s="27" t="s">
        <v>823</v>
      </c>
      <c r="D50" s="27" t="s">
        <v>682</v>
      </c>
      <c r="E50" s="27">
        <v>42</v>
      </c>
      <c r="F50" s="27" t="s">
        <v>671</v>
      </c>
      <c r="G50" s="27" t="s">
        <v>824</v>
      </c>
      <c r="H50" s="27">
        <v>15000</v>
      </c>
      <c r="I50" s="27" t="s">
        <v>825</v>
      </c>
      <c r="J50" s="27" t="s">
        <v>167</v>
      </c>
      <c r="K50" s="27">
        <v>38</v>
      </c>
      <c r="L50" s="27" t="s">
        <v>676</v>
      </c>
      <c r="M50" s="27" t="s">
        <v>661</v>
      </c>
      <c r="N50" s="27" t="s">
        <v>661</v>
      </c>
      <c r="O50" s="27" t="s">
        <v>826</v>
      </c>
      <c r="P50" s="27" t="s">
        <v>316</v>
      </c>
      <c r="Q50" s="27">
        <v>16</v>
      </c>
      <c r="R50" s="27" t="s">
        <v>798</v>
      </c>
      <c r="S50" s="27" t="s">
        <v>672</v>
      </c>
      <c r="T50" s="27" t="s">
        <v>661</v>
      </c>
      <c r="U50" s="27" t="s">
        <v>827</v>
      </c>
      <c r="V50" s="27" t="s">
        <v>670</v>
      </c>
      <c r="W50" s="27">
        <v>10</v>
      </c>
      <c r="X50" s="27" t="s">
        <v>828</v>
      </c>
      <c r="Y50" s="27" t="s">
        <v>672</v>
      </c>
    </row>
    <row r="51" spans="1:50" ht="15" x14ac:dyDescent="0.2">
      <c r="A51" s="27" t="s">
        <v>394</v>
      </c>
      <c r="B51" s="46" t="s">
        <v>395</v>
      </c>
      <c r="C51" s="27" t="s">
        <v>829</v>
      </c>
      <c r="D51" s="27" t="s">
        <v>194</v>
      </c>
      <c r="E51" s="27">
        <v>32</v>
      </c>
      <c r="F51" s="27" t="s">
        <v>694</v>
      </c>
      <c r="G51" s="27" t="s">
        <v>830</v>
      </c>
      <c r="H51" s="27">
        <v>10000</v>
      </c>
      <c r="I51" s="27" t="s">
        <v>831</v>
      </c>
      <c r="J51" s="27" t="s">
        <v>686</v>
      </c>
      <c r="K51" s="27">
        <v>11</v>
      </c>
      <c r="L51" s="27" t="s">
        <v>832</v>
      </c>
      <c r="M51" s="27" t="s">
        <v>672</v>
      </c>
      <c r="O51" s="27" t="s">
        <v>833</v>
      </c>
      <c r="P51" s="27" t="s">
        <v>689</v>
      </c>
      <c r="Q51" s="27">
        <v>9</v>
      </c>
      <c r="R51" s="27" t="s">
        <v>834</v>
      </c>
      <c r="S51" s="27" t="s">
        <v>672</v>
      </c>
      <c r="U51" s="27" t="s">
        <v>835</v>
      </c>
      <c r="V51" s="27" t="s">
        <v>689</v>
      </c>
      <c r="W51" s="27">
        <v>6</v>
      </c>
      <c r="X51" s="27" t="s">
        <v>716</v>
      </c>
      <c r="Y51" s="27" t="s">
        <v>672</v>
      </c>
    </row>
    <row r="53" spans="1:50" ht="60" x14ac:dyDescent="0.25">
      <c r="A53" s="51" t="s">
        <v>568</v>
      </c>
      <c r="B53" s="51" t="s">
        <v>569</v>
      </c>
      <c r="C53" s="52" t="s">
        <v>570</v>
      </c>
      <c r="D53" s="52" t="s">
        <v>571</v>
      </c>
      <c r="E53" s="52" t="s">
        <v>572</v>
      </c>
      <c r="F53" s="52" t="s">
        <v>573</v>
      </c>
      <c r="G53" s="52" t="s">
        <v>574</v>
      </c>
      <c r="H53" s="52" t="s">
        <v>575</v>
      </c>
      <c r="I53" s="53" t="s">
        <v>576</v>
      </c>
      <c r="J53" s="53" t="s">
        <v>571</v>
      </c>
      <c r="K53" s="53" t="s">
        <v>577</v>
      </c>
      <c r="L53" s="53" t="s">
        <v>573</v>
      </c>
      <c r="M53" s="53" t="s">
        <v>578</v>
      </c>
      <c r="N53" s="53" t="s">
        <v>575</v>
      </c>
      <c r="O53" s="54" t="s">
        <v>579</v>
      </c>
      <c r="P53" s="54" t="s">
        <v>580</v>
      </c>
      <c r="Q53" s="54" t="s">
        <v>577</v>
      </c>
      <c r="R53" s="54" t="s">
        <v>573</v>
      </c>
      <c r="S53" s="54" t="s">
        <v>578</v>
      </c>
      <c r="T53" s="54" t="s">
        <v>575</v>
      </c>
      <c r="U53" s="55" t="s">
        <v>581</v>
      </c>
      <c r="V53" s="55" t="s">
        <v>580</v>
      </c>
      <c r="W53" s="55" t="s">
        <v>577</v>
      </c>
      <c r="X53" s="55" t="s">
        <v>573</v>
      </c>
      <c r="Y53" s="55" t="s">
        <v>578</v>
      </c>
      <c r="Z53" s="55" t="s">
        <v>575</v>
      </c>
      <c r="AA53" s="56" t="s">
        <v>579</v>
      </c>
      <c r="AB53" s="56" t="s">
        <v>580</v>
      </c>
      <c r="AC53" s="56" t="s">
        <v>577</v>
      </c>
      <c r="AD53" s="56" t="s">
        <v>573</v>
      </c>
      <c r="AE53" s="56" t="s">
        <v>578</v>
      </c>
      <c r="AF53" s="56" t="s">
        <v>575</v>
      </c>
      <c r="AG53" s="57" t="s">
        <v>579</v>
      </c>
      <c r="AH53" s="57" t="s">
        <v>580</v>
      </c>
      <c r="AI53" s="57" t="s">
        <v>577</v>
      </c>
      <c r="AJ53" s="57" t="s">
        <v>573</v>
      </c>
      <c r="AK53" s="57" t="s">
        <v>578</v>
      </c>
      <c r="AL53" s="57" t="s">
        <v>575</v>
      </c>
      <c r="AM53" s="58" t="s">
        <v>581</v>
      </c>
      <c r="AN53" s="58" t="s">
        <v>580</v>
      </c>
      <c r="AO53" s="58" t="s">
        <v>577</v>
      </c>
      <c r="AP53" s="58" t="s">
        <v>573</v>
      </c>
      <c r="AQ53" s="58" t="s">
        <v>578</v>
      </c>
      <c r="AR53" s="58" t="s">
        <v>575</v>
      </c>
      <c r="AS53" s="59" t="s">
        <v>581</v>
      </c>
      <c r="AT53" s="59" t="s">
        <v>580</v>
      </c>
      <c r="AU53" s="59" t="s">
        <v>577</v>
      </c>
      <c r="AV53" s="59" t="s">
        <v>573</v>
      </c>
      <c r="AW53" s="59" t="s">
        <v>578</v>
      </c>
      <c r="AX53" s="59" t="s">
        <v>575</v>
      </c>
    </row>
    <row r="54" spans="1:50" ht="12.75" x14ac:dyDescent="0.2">
      <c r="A54" s="27" t="s">
        <v>404</v>
      </c>
      <c r="B54" s="27" t="s">
        <v>405</v>
      </c>
      <c r="C54" s="27" t="s">
        <v>836</v>
      </c>
      <c r="D54" s="27" t="s">
        <v>167</v>
      </c>
      <c r="E54" s="27">
        <v>38</v>
      </c>
      <c r="F54" s="27" t="s">
        <v>703</v>
      </c>
      <c r="G54" s="27" t="s">
        <v>837</v>
      </c>
      <c r="H54" s="27">
        <v>6000</v>
      </c>
      <c r="I54" s="27" t="s">
        <v>838</v>
      </c>
      <c r="J54" s="27" t="s">
        <v>839</v>
      </c>
      <c r="K54" s="27">
        <v>18</v>
      </c>
      <c r="L54" s="27" t="s">
        <v>703</v>
      </c>
      <c r="M54" s="27" t="s">
        <v>840</v>
      </c>
      <c r="N54" s="27">
        <v>4000</v>
      </c>
    </row>
    <row r="55" spans="1:50" ht="12.75" x14ac:dyDescent="0.2">
      <c r="A55" s="27" t="s">
        <v>413</v>
      </c>
      <c r="B55" s="27" t="s">
        <v>414</v>
      </c>
      <c r="C55" s="27" t="s">
        <v>841</v>
      </c>
      <c r="D55" s="27" t="s">
        <v>264</v>
      </c>
      <c r="E55" s="27">
        <v>60</v>
      </c>
      <c r="F55" s="27" t="s">
        <v>694</v>
      </c>
      <c r="G55" s="27" t="s">
        <v>842</v>
      </c>
      <c r="H55" s="27">
        <v>8000</v>
      </c>
      <c r="I55" s="27" t="s">
        <v>843</v>
      </c>
      <c r="J55" s="27" t="s">
        <v>207</v>
      </c>
      <c r="K55" s="27">
        <v>50</v>
      </c>
      <c r="L55" s="27" t="s">
        <v>703</v>
      </c>
      <c r="M55" s="27" t="s">
        <v>661</v>
      </c>
      <c r="N55" s="27" t="s">
        <v>661</v>
      </c>
      <c r="O55" s="27" t="s">
        <v>844</v>
      </c>
      <c r="P55" s="27" t="s">
        <v>689</v>
      </c>
      <c r="Q55" s="27">
        <v>4</v>
      </c>
      <c r="R55" s="27" t="s">
        <v>845</v>
      </c>
      <c r="S55" s="27" t="s">
        <v>846</v>
      </c>
    </row>
    <row r="56" spans="1:50" ht="12.75" x14ac:dyDescent="0.2">
      <c r="A56" s="27" t="s">
        <v>425</v>
      </c>
      <c r="B56" s="27" t="s">
        <v>426</v>
      </c>
      <c r="C56" s="27" t="s">
        <v>847</v>
      </c>
      <c r="D56" s="27" t="s">
        <v>839</v>
      </c>
      <c r="E56" s="27">
        <v>19</v>
      </c>
      <c r="F56" s="27" t="s">
        <v>683</v>
      </c>
      <c r="G56" s="27" t="s">
        <v>848</v>
      </c>
      <c r="H56" s="27">
        <v>9000</v>
      </c>
      <c r="I56" s="27" t="s">
        <v>849</v>
      </c>
      <c r="J56" s="27" t="s">
        <v>207</v>
      </c>
      <c r="K56" s="27">
        <v>40</v>
      </c>
      <c r="L56" s="27" t="s">
        <v>661</v>
      </c>
      <c r="M56" s="27" t="s">
        <v>850</v>
      </c>
      <c r="N56" s="27">
        <v>4000</v>
      </c>
    </row>
    <row r="57" spans="1:50" ht="12.75" x14ac:dyDescent="0.2">
      <c r="A57" s="27" t="s">
        <v>435</v>
      </c>
      <c r="B57" s="27" t="s">
        <v>436</v>
      </c>
      <c r="C57" s="27" t="s">
        <v>851</v>
      </c>
      <c r="D57" s="27" t="s">
        <v>194</v>
      </c>
      <c r="E57" s="27">
        <v>42</v>
      </c>
      <c r="F57" s="27" t="s">
        <v>725</v>
      </c>
      <c r="G57" s="27" t="s">
        <v>852</v>
      </c>
      <c r="H57" s="27">
        <v>12000</v>
      </c>
      <c r="I57" s="27" t="s">
        <v>853</v>
      </c>
      <c r="J57" s="27" t="s">
        <v>854</v>
      </c>
      <c r="K57" s="27">
        <v>70</v>
      </c>
      <c r="L57" s="27" t="s">
        <v>661</v>
      </c>
      <c r="M57" s="27" t="s">
        <v>661</v>
      </c>
      <c r="N57" s="27" t="s">
        <v>661</v>
      </c>
      <c r="O57" s="27" t="s">
        <v>855</v>
      </c>
      <c r="P57" s="27" t="s">
        <v>155</v>
      </c>
      <c r="Q57" s="27">
        <v>63</v>
      </c>
      <c r="R57" s="27" t="s">
        <v>683</v>
      </c>
      <c r="S57" s="27" t="s">
        <v>856</v>
      </c>
      <c r="T57" s="27">
        <v>5000</v>
      </c>
      <c r="U57" s="27" t="s">
        <v>857</v>
      </c>
      <c r="V57" s="27" t="s">
        <v>686</v>
      </c>
      <c r="W57" s="27">
        <v>15</v>
      </c>
      <c r="X57" s="27" t="s">
        <v>694</v>
      </c>
      <c r="Y57" s="27" t="s">
        <v>858</v>
      </c>
      <c r="Z57" s="27" t="s">
        <v>661</v>
      </c>
      <c r="AA57" s="27" t="s">
        <v>859</v>
      </c>
      <c r="AC57" s="27">
        <v>5</v>
      </c>
      <c r="AD57" s="27" t="s">
        <v>860</v>
      </c>
    </row>
    <row r="58" spans="1:50" ht="12.75" x14ac:dyDescent="0.2">
      <c r="A58" s="27" t="s">
        <v>442</v>
      </c>
      <c r="B58" s="27" t="s">
        <v>443</v>
      </c>
      <c r="C58" s="27" t="s">
        <v>861</v>
      </c>
      <c r="D58" s="27" t="s">
        <v>207</v>
      </c>
      <c r="E58" s="27">
        <v>37</v>
      </c>
      <c r="F58" s="27" t="s">
        <v>661</v>
      </c>
      <c r="G58" s="27" t="s">
        <v>837</v>
      </c>
      <c r="H58" s="27">
        <v>6000</v>
      </c>
      <c r="I58" s="27" t="s">
        <v>862</v>
      </c>
      <c r="J58" s="27" t="s">
        <v>670</v>
      </c>
      <c r="K58" s="27">
        <v>17</v>
      </c>
      <c r="L58" s="27" t="s">
        <v>703</v>
      </c>
      <c r="M58" s="27" t="s">
        <v>863</v>
      </c>
      <c r="N58" s="27">
        <v>5000</v>
      </c>
      <c r="O58" s="27" t="s">
        <v>864</v>
      </c>
      <c r="P58" s="27" t="s">
        <v>865</v>
      </c>
      <c r="Q58" s="27">
        <v>53</v>
      </c>
      <c r="R58" s="27" t="s">
        <v>661</v>
      </c>
      <c r="S58" s="27" t="s">
        <v>661</v>
      </c>
    </row>
    <row r="59" spans="1:50" ht="12.75" x14ac:dyDescent="0.2">
      <c r="A59" s="27" t="s">
        <v>449</v>
      </c>
      <c r="B59" s="27" t="s">
        <v>450</v>
      </c>
      <c r="C59" s="27" t="s">
        <v>866</v>
      </c>
      <c r="D59" s="27" t="s">
        <v>682</v>
      </c>
      <c r="E59" s="27">
        <v>60</v>
      </c>
      <c r="F59" s="27" t="s">
        <v>683</v>
      </c>
      <c r="G59" s="27" t="s">
        <v>867</v>
      </c>
      <c r="H59" s="27">
        <v>9000</v>
      </c>
      <c r="I59" s="27" t="s">
        <v>868</v>
      </c>
      <c r="J59" s="27" t="s">
        <v>839</v>
      </c>
      <c r="K59" s="27">
        <v>20</v>
      </c>
      <c r="L59" s="27" t="s">
        <v>869</v>
      </c>
      <c r="M59" s="27" t="s">
        <v>870</v>
      </c>
      <c r="N59" s="27">
        <v>7000</v>
      </c>
      <c r="O59" s="27" t="s">
        <v>871</v>
      </c>
      <c r="P59" s="27" t="s">
        <v>207</v>
      </c>
      <c r="Q59" s="27">
        <v>50</v>
      </c>
      <c r="R59" s="27" t="s">
        <v>739</v>
      </c>
      <c r="S59" s="27" t="s">
        <v>661</v>
      </c>
    </row>
    <row r="60" spans="1:50" ht="12.75" x14ac:dyDescent="0.2">
      <c r="A60" s="27" t="s">
        <v>459</v>
      </c>
      <c r="B60" s="27" t="s">
        <v>460</v>
      </c>
      <c r="C60" s="27" t="s">
        <v>872</v>
      </c>
      <c r="D60" s="27" t="s">
        <v>194</v>
      </c>
      <c r="E60" s="27">
        <v>45</v>
      </c>
      <c r="F60" s="27" t="s">
        <v>756</v>
      </c>
      <c r="G60" s="27" t="s">
        <v>852</v>
      </c>
      <c r="H60" s="27">
        <v>10000</v>
      </c>
      <c r="I60" s="27" t="s">
        <v>873</v>
      </c>
      <c r="J60" s="27" t="s">
        <v>689</v>
      </c>
      <c r="K60" s="27">
        <v>15</v>
      </c>
      <c r="L60" s="27" t="s">
        <v>694</v>
      </c>
      <c r="M60" s="27" t="s">
        <v>874</v>
      </c>
    </row>
    <row r="61" spans="1:50" ht="12.75" x14ac:dyDescent="0.2">
      <c r="A61" s="27" t="s">
        <v>469</v>
      </c>
      <c r="B61" s="27" t="s">
        <v>470</v>
      </c>
      <c r="C61" s="27" t="s">
        <v>875</v>
      </c>
      <c r="D61" s="27" t="s">
        <v>194</v>
      </c>
      <c r="E61" s="27">
        <v>45</v>
      </c>
      <c r="F61" s="27" t="s">
        <v>703</v>
      </c>
      <c r="G61" s="27" t="s">
        <v>852</v>
      </c>
      <c r="H61" s="27">
        <v>15000</v>
      </c>
      <c r="I61" s="27" t="s">
        <v>876</v>
      </c>
      <c r="J61" s="27" t="s">
        <v>715</v>
      </c>
      <c r="K61" s="27">
        <v>11</v>
      </c>
      <c r="L61" s="27" t="s">
        <v>832</v>
      </c>
      <c r="M61" s="27" t="s">
        <v>874</v>
      </c>
      <c r="N61" s="27" t="s">
        <v>661</v>
      </c>
      <c r="O61" s="27" t="s">
        <v>877</v>
      </c>
      <c r="P61" s="27" t="s">
        <v>689</v>
      </c>
      <c r="Q61" s="27">
        <v>20</v>
      </c>
      <c r="R61" s="27" t="s">
        <v>878</v>
      </c>
      <c r="S61" s="27" t="s">
        <v>874</v>
      </c>
    </row>
    <row r="62" spans="1:50" ht="12.75" x14ac:dyDescent="0.2">
      <c r="A62" s="27" t="s">
        <v>478</v>
      </c>
      <c r="B62" s="27" t="s">
        <v>479</v>
      </c>
      <c r="C62" s="27" t="s">
        <v>879</v>
      </c>
      <c r="D62" s="27" t="s">
        <v>194</v>
      </c>
      <c r="E62" s="27">
        <v>38</v>
      </c>
      <c r="F62" s="27" t="s">
        <v>725</v>
      </c>
      <c r="G62" s="27" t="s">
        <v>880</v>
      </c>
      <c r="H62" s="27">
        <v>10000</v>
      </c>
      <c r="I62" s="27" t="s">
        <v>881</v>
      </c>
      <c r="J62" s="27" t="s">
        <v>715</v>
      </c>
      <c r="K62" s="27">
        <v>15</v>
      </c>
      <c r="L62" s="27" t="s">
        <v>882</v>
      </c>
      <c r="M62" s="27" t="s">
        <v>874</v>
      </c>
      <c r="O62" s="27" t="s">
        <v>883</v>
      </c>
      <c r="P62" s="27" t="s">
        <v>207</v>
      </c>
      <c r="Q62" s="27">
        <v>55</v>
      </c>
      <c r="R62" s="27" t="s">
        <v>661</v>
      </c>
    </row>
    <row r="63" spans="1:50" ht="12.75" x14ac:dyDescent="0.2">
      <c r="A63" s="27" t="s">
        <v>484</v>
      </c>
      <c r="B63" s="27" t="s">
        <v>485</v>
      </c>
      <c r="C63" s="27" t="s">
        <v>884</v>
      </c>
      <c r="I63" s="27" t="s">
        <v>885</v>
      </c>
      <c r="J63" s="27" t="s">
        <v>715</v>
      </c>
      <c r="K63" s="27">
        <v>18</v>
      </c>
      <c r="L63" s="27" t="s">
        <v>751</v>
      </c>
      <c r="M63" s="27" t="s">
        <v>874</v>
      </c>
    </row>
    <row r="64" spans="1:50" ht="12.75" x14ac:dyDescent="0.2">
      <c r="A64" s="27" t="s">
        <v>489</v>
      </c>
      <c r="B64" s="27" t="s">
        <v>886</v>
      </c>
      <c r="C64" s="27" t="s">
        <v>887</v>
      </c>
      <c r="D64" s="27" t="s">
        <v>682</v>
      </c>
      <c r="E64" s="27">
        <v>45</v>
      </c>
      <c r="F64" s="27" t="s">
        <v>756</v>
      </c>
      <c r="G64" s="27" t="s">
        <v>852</v>
      </c>
      <c r="H64" s="27">
        <v>15000</v>
      </c>
      <c r="I64" s="27" t="s">
        <v>888</v>
      </c>
      <c r="J64" s="27" t="s">
        <v>207</v>
      </c>
      <c r="K64" s="27">
        <v>39</v>
      </c>
      <c r="L64" s="27" t="s">
        <v>739</v>
      </c>
      <c r="M64" s="27" t="s">
        <v>661</v>
      </c>
      <c r="S64" s="27" t="s">
        <v>661</v>
      </c>
    </row>
    <row r="65" spans="1:41" ht="12.75" x14ac:dyDescent="0.2">
      <c r="A65" s="27" t="s">
        <v>494</v>
      </c>
      <c r="B65" s="27" t="s">
        <v>495</v>
      </c>
      <c r="C65" s="27" t="s">
        <v>310</v>
      </c>
      <c r="I65" s="27" t="s">
        <v>889</v>
      </c>
      <c r="J65" s="27" t="s">
        <v>207</v>
      </c>
      <c r="K65" s="27">
        <v>40</v>
      </c>
      <c r="L65" s="27" t="s">
        <v>703</v>
      </c>
      <c r="M65" s="27" t="s">
        <v>661</v>
      </c>
      <c r="O65" s="27" t="s">
        <v>890</v>
      </c>
      <c r="P65" s="27" t="s">
        <v>325</v>
      </c>
      <c r="Q65" s="27">
        <v>18</v>
      </c>
      <c r="R65" s="27" t="s">
        <v>657</v>
      </c>
      <c r="S65" s="27" t="s">
        <v>891</v>
      </c>
      <c r="T65" s="27">
        <v>2000</v>
      </c>
    </row>
    <row r="66" spans="1:41" ht="12.75" x14ac:dyDescent="0.2">
      <c r="A66" s="27" t="s">
        <v>498</v>
      </c>
      <c r="B66" s="27" t="s">
        <v>892</v>
      </c>
      <c r="C66" s="27" t="s">
        <v>893</v>
      </c>
      <c r="D66" s="27" t="s">
        <v>670</v>
      </c>
      <c r="E66" s="27">
        <v>15</v>
      </c>
      <c r="F66" s="27" t="s">
        <v>703</v>
      </c>
      <c r="G66" s="27" t="s">
        <v>894</v>
      </c>
      <c r="H66" s="27">
        <v>3000</v>
      </c>
      <c r="I66" s="27" t="s">
        <v>895</v>
      </c>
      <c r="J66" s="27" t="s">
        <v>207</v>
      </c>
      <c r="K66" s="27">
        <v>52</v>
      </c>
      <c r="L66" s="27" t="s">
        <v>661</v>
      </c>
      <c r="M66" s="27" t="s">
        <v>661</v>
      </c>
      <c r="O66" s="27" t="s">
        <v>896</v>
      </c>
      <c r="P66" s="27" t="s">
        <v>325</v>
      </c>
      <c r="Q66" s="27">
        <v>22</v>
      </c>
      <c r="R66" s="27" t="s">
        <v>694</v>
      </c>
      <c r="S66" s="27" t="s">
        <v>897</v>
      </c>
      <c r="T66" s="27">
        <v>2000</v>
      </c>
      <c r="U66" s="27" t="s">
        <v>898</v>
      </c>
      <c r="V66" s="27" t="s">
        <v>899</v>
      </c>
      <c r="W66" s="27">
        <v>12</v>
      </c>
      <c r="X66" s="27" t="s">
        <v>832</v>
      </c>
      <c r="Y66" s="27" t="s">
        <v>874</v>
      </c>
    </row>
    <row r="67" spans="1:41" ht="12.75" x14ac:dyDescent="0.2">
      <c r="A67" s="27" t="s">
        <v>503</v>
      </c>
      <c r="B67" s="27" t="s">
        <v>504</v>
      </c>
      <c r="C67" s="27" t="s">
        <v>900</v>
      </c>
      <c r="D67" s="27" t="s">
        <v>264</v>
      </c>
      <c r="E67" s="27">
        <v>45</v>
      </c>
      <c r="F67" s="27" t="s">
        <v>901</v>
      </c>
      <c r="G67" s="27" t="s">
        <v>726</v>
      </c>
      <c r="H67" s="27">
        <v>12000</v>
      </c>
      <c r="I67" s="27" t="s">
        <v>902</v>
      </c>
      <c r="J67" s="27" t="s">
        <v>207</v>
      </c>
      <c r="K67" s="27">
        <v>41</v>
      </c>
      <c r="L67" s="27" t="s">
        <v>661</v>
      </c>
      <c r="M67" s="27" t="s">
        <v>903</v>
      </c>
      <c r="N67" s="27">
        <v>5000</v>
      </c>
      <c r="O67" s="27" t="s">
        <v>904</v>
      </c>
      <c r="P67" s="27" t="s">
        <v>670</v>
      </c>
      <c r="Q67" s="27">
        <v>20</v>
      </c>
      <c r="R67" s="27" t="s">
        <v>905</v>
      </c>
      <c r="S67" s="27" t="s">
        <v>906</v>
      </c>
      <c r="T67" s="27">
        <v>12000</v>
      </c>
      <c r="U67" s="27" t="s">
        <v>907</v>
      </c>
      <c r="V67" s="27" t="s">
        <v>908</v>
      </c>
      <c r="W67" s="27">
        <v>17</v>
      </c>
      <c r="X67" s="27" t="s">
        <v>683</v>
      </c>
      <c r="Y67" s="27" t="s">
        <v>661</v>
      </c>
    </row>
    <row r="68" spans="1:41" ht="12.75" x14ac:dyDescent="0.2">
      <c r="A68" s="27" t="s">
        <v>508</v>
      </c>
      <c r="B68" s="27" t="s">
        <v>509</v>
      </c>
      <c r="C68" s="27" t="s">
        <v>909</v>
      </c>
      <c r="D68" s="27" t="s">
        <v>264</v>
      </c>
      <c r="E68" s="27">
        <v>45</v>
      </c>
      <c r="F68" s="27" t="s">
        <v>661</v>
      </c>
      <c r="G68" s="27" t="s">
        <v>726</v>
      </c>
      <c r="H68" s="27">
        <v>5000</v>
      </c>
      <c r="I68" s="27" t="s">
        <v>910</v>
      </c>
      <c r="J68" s="27" t="s">
        <v>207</v>
      </c>
      <c r="K68" s="27">
        <v>35</v>
      </c>
      <c r="L68" s="27" t="s">
        <v>661</v>
      </c>
      <c r="M68" s="27" t="s">
        <v>906</v>
      </c>
      <c r="N68" s="27">
        <v>4000</v>
      </c>
      <c r="O68" s="27" t="s">
        <v>911</v>
      </c>
      <c r="P68" s="27" t="s">
        <v>670</v>
      </c>
      <c r="Q68" s="27">
        <v>23</v>
      </c>
      <c r="R68" s="27" t="s">
        <v>790</v>
      </c>
      <c r="S68" s="27" t="s">
        <v>912</v>
      </c>
      <c r="T68" s="27">
        <v>10000</v>
      </c>
      <c r="U68" s="27" t="s">
        <v>913</v>
      </c>
      <c r="V68" s="27" t="s">
        <v>899</v>
      </c>
      <c r="W68" s="27">
        <v>19</v>
      </c>
      <c r="X68" s="27" t="s">
        <v>751</v>
      </c>
      <c r="Y68" s="27" t="s">
        <v>661</v>
      </c>
      <c r="AA68" s="27" t="s">
        <v>914</v>
      </c>
      <c r="AB68" s="27" t="s">
        <v>915</v>
      </c>
      <c r="AC68" s="27">
        <v>13</v>
      </c>
      <c r="AD68" s="27" t="s">
        <v>916</v>
      </c>
      <c r="AE68" s="27" t="s">
        <v>917</v>
      </c>
      <c r="AG68" s="27" t="s">
        <v>918</v>
      </c>
      <c r="AH68" s="27" t="s">
        <v>919</v>
      </c>
      <c r="AI68" s="27" t="s">
        <v>920</v>
      </c>
    </row>
    <row r="69" spans="1:41" ht="12.75" x14ac:dyDescent="0.2">
      <c r="A69" s="27" t="s">
        <v>513</v>
      </c>
      <c r="B69" s="27" t="s">
        <v>514</v>
      </c>
      <c r="C69" s="27" t="s">
        <v>921</v>
      </c>
      <c r="D69" s="27" t="s">
        <v>670</v>
      </c>
      <c r="E69" s="27">
        <v>35</v>
      </c>
      <c r="F69" s="27" t="s">
        <v>661</v>
      </c>
      <c r="G69" s="27" t="s">
        <v>922</v>
      </c>
      <c r="H69" s="27">
        <v>12000</v>
      </c>
      <c r="I69" s="27" t="s">
        <v>923</v>
      </c>
      <c r="J69" s="27" t="s">
        <v>839</v>
      </c>
      <c r="K69" s="27">
        <v>25</v>
      </c>
      <c r="L69" s="27" t="s">
        <v>661</v>
      </c>
      <c r="M69" s="27" t="s">
        <v>922</v>
      </c>
      <c r="N69" s="27">
        <v>12000</v>
      </c>
      <c r="O69" s="27" t="s">
        <v>924</v>
      </c>
      <c r="P69" s="27" t="s">
        <v>682</v>
      </c>
      <c r="Q69" s="27">
        <v>50</v>
      </c>
      <c r="R69" s="27" t="s">
        <v>661</v>
      </c>
      <c r="U69" s="27" t="s">
        <v>925</v>
      </c>
      <c r="V69" s="27" t="s">
        <v>167</v>
      </c>
      <c r="W69" s="27">
        <v>45</v>
      </c>
      <c r="AA69" s="27" t="s">
        <v>926</v>
      </c>
      <c r="AB69" s="27" t="s">
        <v>927</v>
      </c>
      <c r="AC69" s="27">
        <v>20</v>
      </c>
      <c r="AD69" s="27" t="s">
        <v>661</v>
      </c>
      <c r="AG69" s="27" t="s">
        <v>928</v>
      </c>
      <c r="AH69" s="27" t="s">
        <v>919</v>
      </c>
      <c r="AI69" s="27" t="s">
        <v>929</v>
      </c>
      <c r="AJ69" s="27" t="s">
        <v>930</v>
      </c>
      <c r="AM69" s="27" t="s">
        <v>931</v>
      </c>
      <c r="AN69" s="27" t="s">
        <v>919</v>
      </c>
      <c r="AO69" s="27" t="s">
        <v>932</v>
      </c>
    </row>
    <row r="70" spans="1:41" ht="12.75" x14ac:dyDescent="0.2">
      <c r="A70" s="27" t="s">
        <v>518</v>
      </c>
      <c r="B70" s="27" t="s">
        <v>519</v>
      </c>
      <c r="C70" s="27" t="s">
        <v>933</v>
      </c>
      <c r="D70" s="27" t="s">
        <v>194</v>
      </c>
      <c r="E70" s="27">
        <v>40</v>
      </c>
      <c r="F70" s="27" t="s">
        <v>661</v>
      </c>
      <c r="G70" s="27" t="s">
        <v>934</v>
      </c>
      <c r="H70" s="27">
        <v>18000</v>
      </c>
      <c r="I70" s="27" t="s">
        <v>935</v>
      </c>
      <c r="J70" s="27" t="s">
        <v>936</v>
      </c>
      <c r="K70" s="27">
        <v>7</v>
      </c>
      <c r="L70" s="27" t="s">
        <v>937</v>
      </c>
      <c r="M70" s="27" t="s">
        <v>874</v>
      </c>
      <c r="O70" s="27" t="s">
        <v>938</v>
      </c>
      <c r="P70" s="27" t="s">
        <v>715</v>
      </c>
      <c r="Q70" s="27">
        <v>3</v>
      </c>
    </row>
    <row r="71" spans="1:41" ht="12.75" x14ac:dyDescent="0.2">
      <c r="A71" s="27" t="s">
        <v>522</v>
      </c>
      <c r="B71" s="27" t="s">
        <v>523</v>
      </c>
      <c r="C71" s="27" t="s">
        <v>939</v>
      </c>
      <c r="D71" s="27" t="s">
        <v>167</v>
      </c>
      <c r="E71" s="27">
        <v>36</v>
      </c>
      <c r="G71" s="27" t="s">
        <v>775</v>
      </c>
      <c r="H71" s="27">
        <v>6000</v>
      </c>
      <c r="I71" s="27" t="s">
        <v>940</v>
      </c>
      <c r="J71" s="27" t="s">
        <v>908</v>
      </c>
      <c r="K71" s="27">
        <v>10</v>
      </c>
      <c r="L71" s="27" t="s">
        <v>941</v>
      </c>
      <c r="M71" s="27" t="s">
        <v>846</v>
      </c>
    </row>
    <row r="72" spans="1:41" ht="12.75" x14ac:dyDescent="0.2">
      <c r="A72" s="27" t="s">
        <v>527</v>
      </c>
      <c r="B72" s="27" t="s">
        <v>528</v>
      </c>
      <c r="C72" s="27" t="s">
        <v>942</v>
      </c>
      <c r="D72" s="27" t="s">
        <v>670</v>
      </c>
      <c r="E72" s="27">
        <v>40</v>
      </c>
      <c r="F72" s="27" t="s">
        <v>943</v>
      </c>
      <c r="G72" s="27" t="s">
        <v>745</v>
      </c>
      <c r="H72" s="27">
        <v>12000</v>
      </c>
      <c r="I72" s="27" t="s">
        <v>944</v>
      </c>
      <c r="J72" s="27" t="s">
        <v>533</v>
      </c>
      <c r="K72" s="27">
        <v>32</v>
      </c>
      <c r="L72" s="27" t="s">
        <v>916</v>
      </c>
      <c r="M72" s="27" t="s">
        <v>661</v>
      </c>
      <c r="O72" s="27" t="s">
        <v>945</v>
      </c>
      <c r="P72" s="27" t="s">
        <v>919</v>
      </c>
      <c r="Q72" s="27">
        <v>17</v>
      </c>
      <c r="R72" s="27" t="s">
        <v>946</v>
      </c>
      <c r="S72" s="27" t="s">
        <v>874</v>
      </c>
      <c r="T72" s="27"/>
      <c r="V72" s="27" t="s">
        <v>919</v>
      </c>
      <c r="W72" s="27">
        <v>15</v>
      </c>
      <c r="X72" s="27" t="s">
        <v>756</v>
      </c>
      <c r="Y72" s="27" t="s">
        <v>874</v>
      </c>
    </row>
    <row r="73" spans="1:41" ht="12.75" x14ac:dyDescent="0.2">
      <c r="A73" s="27" t="s">
        <v>535</v>
      </c>
      <c r="B73" s="27" t="s">
        <v>536</v>
      </c>
      <c r="C73" s="27" t="s">
        <v>947</v>
      </c>
      <c r="D73" s="27" t="s">
        <v>682</v>
      </c>
      <c r="E73" s="27">
        <v>50</v>
      </c>
      <c r="F73" s="27" t="s">
        <v>948</v>
      </c>
      <c r="G73" s="27" t="s">
        <v>949</v>
      </c>
      <c r="H73" s="27">
        <v>4000</v>
      </c>
      <c r="I73" s="27" t="s">
        <v>950</v>
      </c>
      <c r="J73" s="27" t="s">
        <v>908</v>
      </c>
      <c r="K73" s="27">
        <v>25</v>
      </c>
      <c r="L73" s="27" t="s">
        <v>951</v>
      </c>
      <c r="M73" s="27" t="s">
        <v>949</v>
      </c>
      <c r="N73" s="27">
        <v>4000</v>
      </c>
      <c r="O73" s="27" t="s">
        <v>952</v>
      </c>
      <c r="P73" s="27" t="s">
        <v>207</v>
      </c>
      <c r="Q73" s="27">
        <v>35</v>
      </c>
      <c r="R73" s="27" t="s">
        <v>953</v>
      </c>
      <c r="S73" s="27" t="s">
        <v>661</v>
      </c>
      <c r="T73" s="27" t="s">
        <v>661</v>
      </c>
      <c r="U73" s="27" t="s">
        <v>954</v>
      </c>
      <c r="V73" s="27" t="s">
        <v>955</v>
      </c>
      <c r="W73" s="27">
        <v>20</v>
      </c>
      <c r="X73" s="27" t="s">
        <v>956</v>
      </c>
      <c r="Y73" s="27" t="s">
        <v>874</v>
      </c>
      <c r="AA73" s="27" t="s">
        <v>957</v>
      </c>
      <c r="AB73" s="27" t="s">
        <v>908</v>
      </c>
      <c r="AC73" s="27">
        <v>15</v>
      </c>
      <c r="AD73" s="27" t="s">
        <v>958</v>
      </c>
      <c r="AG73" s="27" t="s">
        <v>959</v>
      </c>
      <c r="AH73" s="27" t="s">
        <v>533</v>
      </c>
      <c r="AI73" s="27" t="s">
        <v>960</v>
      </c>
      <c r="AJ73" s="27" t="s">
        <v>961</v>
      </c>
    </row>
    <row r="74" spans="1:41" ht="12.75" x14ac:dyDescent="0.2">
      <c r="A74" s="27" t="s">
        <v>541</v>
      </c>
      <c r="B74" s="27" t="s">
        <v>542</v>
      </c>
      <c r="C74" s="27" t="s">
        <v>962</v>
      </c>
      <c r="D74" s="27" t="s">
        <v>682</v>
      </c>
      <c r="E74" s="27">
        <v>37</v>
      </c>
      <c r="F74" s="27" t="s">
        <v>963</v>
      </c>
      <c r="G74" s="27" t="s">
        <v>922</v>
      </c>
      <c r="H74" s="27">
        <v>10000</v>
      </c>
      <c r="I74" s="27" t="s">
        <v>964</v>
      </c>
      <c r="J74" s="27" t="s">
        <v>207</v>
      </c>
      <c r="K74" s="27">
        <v>32</v>
      </c>
      <c r="L74" s="27" t="s">
        <v>661</v>
      </c>
      <c r="O74" s="27" t="s">
        <v>965</v>
      </c>
      <c r="P74" s="27" t="s">
        <v>908</v>
      </c>
      <c r="Q74" s="27">
        <v>9</v>
      </c>
      <c r="R74" s="27" t="s">
        <v>966</v>
      </c>
      <c r="S74" s="27" t="s">
        <v>874</v>
      </c>
    </row>
    <row r="75" spans="1:41" ht="12.75" x14ac:dyDescent="0.2">
      <c r="A75" s="27" t="s">
        <v>544</v>
      </c>
      <c r="B75" s="27" t="s">
        <v>545</v>
      </c>
      <c r="C75" s="27" t="s">
        <v>967</v>
      </c>
      <c r="D75" s="27" t="s">
        <v>670</v>
      </c>
      <c r="E75" s="27">
        <v>32</v>
      </c>
      <c r="F75" s="27" t="s">
        <v>968</v>
      </c>
      <c r="G75" s="27" t="s">
        <v>969</v>
      </c>
      <c r="H75" s="27">
        <v>16000</v>
      </c>
      <c r="I75" s="27" t="s">
        <v>970</v>
      </c>
      <c r="J75" s="27" t="s">
        <v>207</v>
      </c>
      <c r="K75" s="27">
        <v>50</v>
      </c>
      <c r="L75" s="27" t="s">
        <v>971</v>
      </c>
      <c r="M75" s="27" t="s">
        <v>972</v>
      </c>
      <c r="N75" s="27">
        <v>2000</v>
      </c>
      <c r="O75" s="27" t="s">
        <v>973</v>
      </c>
      <c r="P75" s="27" t="s">
        <v>974</v>
      </c>
      <c r="Q75" s="27">
        <v>29</v>
      </c>
      <c r="R75" s="27" t="s">
        <v>869</v>
      </c>
      <c r="S75" s="27" t="s">
        <v>975</v>
      </c>
      <c r="T75" s="27">
        <v>2000</v>
      </c>
      <c r="U75" s="27" t="s">
        <v>976</v>
      </c>
      <c r="V75" s="27" t="s">
        <v>715</v>
      </c>
      <c r="W75" s="27">
        <v>5.5</v>
      </c>
      <c r="X75" s="27" t="s">
        <v>977</v>
      </c>
      <c r="Y75" s="27" t="s">
        <v>917</v>
      </c>
    </row>
    <row r="76" spans="1:41" ht="12.75" x14ac:dyDescent="0.2">
      <c r="A76" s="27" t="s">
        <v>550</v>
      </c>
      <c r="B76" s="27" t="s">
        <v>551</v>
      </c>
      <c r="C76" s="27" t="s">
        <v>978</v>
      </c>
      <c r="D76" s="27" t="s">
        <v>979</v>
      </c>
      <c r="E76" s="27">
        <v>33</v>
      </c>
      <c r="F76" s="27" t="s">
        <v>980</v>
      </c>
      <c r="G76" s="27" t="s">
        <v>981</v>
      </c>
      <c r="H76" s="27">
        <v>6000</v>
      </c>
      <c r="I76" s="27" t="s">
        <v>982</v>
      </c>
      <c r="J76" s="27" t="s">
        <v>207</v>
      </c>
      <c r="K76" s="27">
        <v>40</v>
      </c>
      <c r="L76" s="27" t="s">
        <v>983</v>
      </c>
      <c r="M76" s="27" t="s">
        <v>984</v>
      </c>
      <c r="N76" s="27" t="s">
        <v>661</v>
      </c>
      <c r="O76" s="27" t="s">
        <v>985</v>
      </c>
      <c r="P76" s="27" t="s">
        <v>721</v>
      </c>
      <c r="Q76" s="27">
        <v>42</v>
      </c>
      <c r="R76" s="27" t="s">
        <v>661</v>
      </c>
      <c r="S76" s="27" t="s">
        <v>661</v>
      </c>
      <c r="T76" s="27" t="s">
        <v>661</v>
      </c>
      <c r="U76" s="27" t="s">
        <v>986</v>
      </c>
      <c r="V76" s="27" t="s">
        <v>715</v>
      </c>
      <c r="W76" s="27">
        <v>4</v>
      </c>
      <c r="X76" s="27" t="s">
        <v>987</v>
      </c>
      <c r="Y76" s="27" t="s">
        <v>874</v>
      </c>
    </row>
    <row r="77" spans="1:41" ht="12.75" x14ac:dyDescent="0.2">
      <c r="A77" s="27" t="s">
        <v>555</v>
      </c>
      <c r="B77" s="27" t="s">
        <v>556</v>
      </c>
      <c r="C77" s="27" t="s">
        <v>788</v>
      </c>
      <c r="D77" s="27" t="s">
        <v>682</v>
      </c>
      <c r="E77" s="27">
        <v>45</v>
      </c>
      <c r="F77" s="27" t="s">
        <v>988</v>
      </c>
      <c r="G77" s="27" t="s">
        <v>989</v>
      </c>
      <c r="H77" s="27">
        <v>9000</v>
      </c>
      <c r="I77" s="27" t="s">
        <v>990</v>
      </c>
      <c r="J77" s="27" t="s">
        <v>723</v>
      </c>
      <c r="K77" s="27">
        <v>35</v>
      </c>
      <c r="L77" s="27" t="s">
        <v>991</v>
      </c>
      <c r="M77" s="27" t="s">
        <v>906</v>
      </c>
      <c r="N77" s="27">
        <v>5000</v>
      </c>
      <c r="O77" s="27" t="s">
        <v>992</v>
      </c>
      <c r="P77" s="27" t="s">
        <v>533</v>
      </c>
      <c r="Q77" s="27">
        <v>17</v>
      </c>
      <c r="R77" s="27" t="s">
        <v>993</v>
      </c>
      <c r="S77" s="27" t="s">
        <v>874</v>
      </c>
      <c r="U77" s="27" t="s">
        <v>994</v>
      </c>
      <c r="V77" s="27" t="s">
        <v>670</v>
      </c>
      <c r="W77" s="27">
        <v>15</v>
      </c>
      <c r="X77" s="27" t="s">
        <v>995</v>
      </c>
      <c r="Y77" s="27" t="s">
        <v>846</v>
      </c>
    </row>
    <row r="78" spans="1:41" ht="12.75" x14ac:dyDescent="0.2">
      <c r="A78" s="27" t="s">
        <v>559</v>
      </c>
      <c r="B78" s="27" t="s">
        <v>560</v>
      </c>
      <c r="C78" s="27" t="s">
        <v>996</v>
      </c>
      <c r="D78" s="27" t="s">
        <v>670</v>
      </c>
      <c r="E78" s="27">
        <v>32</v>
      </c>
      <c r="F78" s="27" t="s">
        <v>869</v>
      </c>
      <c r="G78" s="27" t="s">
        <v>997</v>
      </c>
      <c r="H78" s="27">
        <v>16000</v>
      </c>
      <c r="I78" s="27" t="s">
        <v>998</v>
      </c>
      <c r="J78" s="27" t="s">
        <v>207</v>
      </c>
      <c r="K78" s="27">
        <v>56</v>
      </c>
      <c r="L78" s="27" t="s">
        <v>661</v>
      </c>
      <c r="M78" s="27" t="s">
        <v>661</v>
      </c>
      <c r="N78" s="27" t="s">
        <v>661</v>
      </c>
      <c r="O78" s="27" t="s">
        <v>999</v>
      </c>
      <c r="P78" s="27" t="s">
        <v>936</v>
      </c>
      <c r="Q78" s="27" t="s">
        <v>1000</v>
      </c>
      <c r="R78" s="27" t="s">
        <v>661</v>
      </c>
      <c r="S78" s="27" t="s">
        <v>661</v>
      </c>
    </row>
    <row r="79" spans="1:41" ht="12.75" x14ac:dyDescent="0.2">
      <c r="A79" s="27" t="s">
        <v>563</v>
      </c>
      <c r="B79" s="27" t="s">
        <v>564</v>
      </c>
      <c r="C79" s="27" t="s">
        <v>1001</v>
      </c>
      <c r="D79" s="27" t="s">
        <v>682</v>
      </c>
      <c r="E79" s="27">
        <v>60</v>
      </c>
      <c r="F79" s="27" t="s">
        <v>725</v>
      </c>
      <c r="G79" s="27" t="s">
        <v>1002</v>
      </c>
      <c r="H79" s="27">
        <v>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H96"/>
  <sheetViews>
    <sheetView workbookViewId="0">
      <pane xSplit="4" ySplit="2" topLeftCell="E3" activePane="bottomRight" state="frozen"/>
      <selection pane="topRight" activeCell="E1" sqref="E1"/>
      <selection pane="bottomLeft" activeCell="A3" sqref="A3"/>
      <selection pane="bottomRight" activeCell="E3" sqref="E3"/>
    </sheetView>
  </sheetViews>
  <sheetFormatPr defaultColWidth="12.5703125" defaultRowHeight="15.75" customHeight="1" x14ac:dyDescent="0.2"/>
  <cols>
    <col min="3" max="3" width="14.140625" customWidth="1"/>
    <col min="4" max="4" width="0.42578125" customWidth="1"/>
    <col min="9" max="9" width="15.5703125" customWidth="1"/>
    <col min="10" max="12" width="14.28515625" customWidth="1"/>
    <col min="16" max="16" width="15.140625" customWidth="1"/>
    <col min="28" max="29" width="20" customWidth="1"/>
    <col min="78" max="78" width="19.28515625" customWidth="1"/>
    <col min="84" max="84" width="81" customWidth="1"/>
  </cols>
  <sheetData>
    <row r="1" spans="1:86" ht="15" x14ac:dyDescent="0.25">
      <c r="A1" s="65"/>
      <c r="B1" s="65"/>
      <c r="C1" s="65"/>
      <c r="D1" s="65"/>
      <c r="E1" s="66" t="s">
        <v>1003</v>
      </c>
      <c r="F1" s="67"/>
      <c r="G1" s="67"/>
      <c r="H1" s="68"/>
      <c r="I1" s="111" t="s">
        <v>1004</v>
      </c>
      <c r="J1" s="108"/>
      <c r="K1" s="109"/>
      <c r="L1" s="111" t="s">
        <v>1005</v>
      </c>
      <c r="M1" s="108"/>
      <c r="N1" s="109"/>
      <c r="O1" s="69"/>
      <c r="P1" s="111" t="s">
        <v>1006</v>
      </c>
      <c r="Q1" s="108"/>
      <c r="R1" s="108"/>
      <c r="S1" s="108"/>
      <c r="T1" s="108"/>
      <c r="U1" s="108"/>
      <c r="V1" s="109"/>
      <c r="W1" s="70"/>
      <c r="X1" s="112" t="s">
        <v>1007</v>
      </c>
      <c r="Y1" s="108"/>
      <c r="Z1" s="108"/>
      <c r="AA1" s="108"/>
      <c r="AB1" s="108"/>
      <c r="AC1" s="108"/>
      <c r="AD1" s="108"/>
      <c r="AE1" s="108"/>
      <c r="AF1" s="108"/>
      <c r="AG1" s="108"/>
      <c r="AH1" s="108"/>
      <c r="AI1" s="108"/>
      <c r="AJ1" s="108"/>
      <c r="AK1" s="109"/>
      <c r="AL1" s="113" t="s">
        <v>1008</v>
      </c>
      <c r="AM1" s="108"/>
      <c r="AN1" s="108"/>
      <c r="AO1" s="108"/>
      <c r="AP1" s="108"/>
      <c r="AQ1" s="109"/>
      <c r="AR1" s="71"/>
      <c r="AS1" s="71"/>
      <c r="AT1" s="71"/>
      <c r="AU1" s="114" t="s">
        <v>1009</v>
      </c>
      <c r="AV1" s="108"/>
      <c r="AW1" s="108"/>
      <c r="AX1" s="108"/>
      <c r="AY1" s="108"/>
      <c r="AZ1" s="108"/>
      <c r="BA1" s="108"/>
      <c r="BB1" s="108"/>
      <c r="BC1" s="108"/>
      <c r="BD1" s="108"/>
      <c r="BE1" s="108"/>
      <c r="BF1" s="108"/>
      <c r="BG1" s="108"/>
      <c r="BH1" s="108"/>
      <c r="BI1" s="108"/>
      <c r="BJ1" s="109"/>
      <c r="BK1" s="71"/>
      <c r="BL1" s="71"/>
      <c r="BM1" s="65"/>
      <c r="BN1" s="65"/>
      <c r="BO1" s="115" t="s">
        <v>1010</v>
      </c>
      <c r="BP1" s="108"/>
      <c r="BQ1" s="108"/>
      <c r="BR1" s="108"/>
      <c r="BS1" s="108"/>
      <c r="BT1" s="108"/>
      <c r="BU1" s="109"/>
      <c r="BV1" s="107" t="s">
        <v>1011</v>
      </c>
      <c r="BW1" s="108"/>
      <c r="BX1" s="108"/>
      <c r="BY1" s="108"/>
      <c r="BZ1" s="108"/>
      <c r="CA1" s="108"/>
      <c r="CB1" s="108"/>
      <c r="CC1" s="108"/>
      <c r="CD1" s="109"/>
      <c r="CE1" s="72"/>
      <c r="CF1" s="110" t="s">
        <v>1012</v>
      </c>
      <c r="CG1" s="108"/>
      <c r="CH1" s="109"/>
    </row>
    <row r="2" spans="1:86" ht="53.25" customHeight="1" x14ac:dyDescent="0.2">
      <c r="A2" s="73" t="s">
        <v>1013</v>
      </c>
      <c r="B2" s="74" t="s">
        <v>1014</v>
      </c>
      <c r="C2" s="74" t="s">
        <v>1015</v>
      </c>
      <c r="D2" s="74" t="s">
        <v>1016</v>
      </c>
      <c r="E2" s="75" t="s">
        <v>1017</v>
      </c>
      <c r="F2" s="75" t="s">
        <v>1018</v>
      </c>
      <c r="G2" s="75" t="s">
        <v>1019</v>
      </c>
      <c r="H2" s="76" t="s">
        <v>1020</v>
      </c>
      <c r="I2" s="75" t="s">
        <v>1021</v>
      </c>
      <c r="J2" s="75" t="s">
        <v>1022</v>
      </c>
      <c r="K2" s="75" t="s">
        <v>417</v>
      </c>
      <c r="L2" s="75" t="s">
        <v>1023</v>
      </c>
      <c r="M2" s="75" t="s">
        <v>1024</v>
      </c>
      <c r="N2" s="75" t="s">
        <v>417</v>
      </c>
      <c r="O2" s="75" t="s">
        <v>1025</v>
      </c>
      <c r="P2" s="75" t="s">
        <v>1026</v>
      </c>
      <c r="Q2" s="76" t="s">
        <v>1027</v>
      </c>
      <c r="R2" s="77" t="s">
        <v>1028</v>
      </c>
      <c r="S2" s="75" t="s">
        <v>1029</v>
      </c>
      <c r="T2" s="75" t="s">
        <v>1030</v>
      </c>
      <c r="U2" s="75" t="s">
        <v>1031</v>
      </c>
      <c r="V2" s="75" t="s">
        <v>1032</v>
      </c>
      <c r="W2" s="77" t="s">
        <v>1033</v>
      </c>
      <c r="X2" s="77" t="s">
        <v>1034</v>
      </c>
      <c r="Y2" s="76" t="s">
        <v>1035</v>
      </c>
      <c r="Z2" s="77" t="s">
        <v>1036</v>
      </c>
      <c r="AA2" s="76" t="s">
        <v>1037</v>
      </c>
      <c r="AB2" s="76" t="s">
        <v>1038</v>
      </c>
      <c r="AC2" s="77" t="s">
        <v>1039</v>
      </c>
      <c r="AD2" s="77" t="s">
        <v>1040</v>
      </c>
      <c r="AE2" s="78" t="s">
        <v>1041</v>
      </c>
      <c r="AF2" s="78" t="s">
        <v>1042</v>
      </c>
      <c r="AG2" s="78" t="s">
        <v>1043</v>
      </c>
      <c r="AH2" s="78" t="s">
        <v>1044</v>
      </c>
      <c r="AI2" s="79" t="s">
        <v>1045</v>
      </c>
      <c r="AJ2" s="75" t="s">
        <v>1046</v>
      </c>
      <c r="AK2" s="75" t="s">
        <v>1047</v>
      </c>
      <c r="AL2" s="75" t="s">
        <v>1048</v>
      </c>
      <c r="AM2" s="75" t="s">
        <v>1049</v>
      </c>
      <c r="AN2" s="75" t="s">
        <v>1050</v>
      </c>
      <c r="AO2" s="75" t="s">
        <v>1051</v>
      </c>
      <c r="AP2" s="75" t="s">
        <v>1052</v>
      </c>
      <c r="AQ2" s="75" t="s">
        <v>1053</v>
      </c>
      <c r="AR2" s="80" t="s">
        <v>417</v>
      </c>
      <c r="AS2" s="80" t="s">
        <v>1054</v>
      </c>
      <c r="AT2" s="80" t="s">
        <v>1055</v>
      </c>
      <c r="AU2" s="80" t="s">
        <v>1056</v>
      </c>
      <c r="AV2" s="80" t="s">
        <v>1057</v>
      </c>
      <c r="AW2" s="80" t="s">
        <v>1058</v>
      </c>
      <c r="AX2" s="81" t="s">
        <v>1059</v>
      </c>
      <c r="AY2" s="82" t="s">
        <v>1060</v>
      </c>
      <c r="AZ2" s="81" t="s">
        <v>1061</v>
      </c>
      <c r="BA2" s="81" t="s">
        <v>1062</v>
      </c>
      <c r="BB2" s="81" t="s">
        <v>1063</v>
      </c>
      <c r="BC2" s="81" t="s">
        <v>1064</v>
      </c>
      <c r="BD2" s="81" t="s">
        <v>1065</v>
      </c>
      <c r="BE2" s="83" t="s">
        <v>1066</v>
      </c>
      <c r="BF2" s="83" t="s">
        <v>1067</v>
      </c>
      <c r="BG2" s="84" t="s">
        <v>1068</v>
      </c>
      <c r="BH2" s="84" t="s">
        <v>1069</v>
      </c>
      <c r="BI2" s="84" t="s">
        <v>1070</v>
      </c>
      <c r="BJ2" s="84" t="s">
        <v>1071</v>
      </c>
      <c r="BK2" s="85" t="s">
        <v>1072</v>
      </c>
      <c r="BL2" s="85" t="s">
        <v>1073</v>
      </c>
      <c r="BM2" s="75" t="s">
        <v>1074</v>
      </c>
      <c r="BN2" s="75" t="s">
        <v>1075</v>
      </c>
      <c r="BO2" s="86" t="s">
        <v>1076</v>
      </c>
      <c r="BP2" s="87" t="s">
        <v>1077</v>
      </c>
      <c r="BQ2" s="87" t="s">
        <v>1078</v>
      </c>
      <c r="BR2" s="87" t="s">
        <v>1079</v>
      </c>
      <c r="BS2" s="87" t="s">
        <v>1080</v>
      </c>
      <c r="BT2" s="87" t="s">
        <v>1081</v>
      </c>
      <c r="BU2" s="87" t="s">
        <v>1082</v>
      </c>
      <c r="BV2" s="88" t="s">
        <v>1083</v>
      </c>
      <c r="BW2" s="89" t="s">
        <v>1084</v>
      </c>
      <c r="BX2" s="88" t="s">
        <v>1085</v>
      </c>
      <c r="BY2" s="89" t="s">
        <v>1086</v>
      </c>
      <c r="BZ2" s="89" t="s">
        <v>1087</v>
      </c>
      <c r="CA2" s="89" t="s">
        <v>1088</v>
      </c>
      <c r="CB2" s="89" t="s">
        <v>1089</v>
      </c>
      <c r="CC2" s="89" t="s">
        <v>1090</v>
      </c>
      <c r="CD2" s="89" t="s">
        <v>1091</v>
      </c>
      <c r="CE2" s="89" t="s">
        <v>1071</v>
      </c>
      <c r="CF2" s="75" t="s">
        <v>1092</v>
      </c>
      <c r="CG2" s="75" t="s">
        <v>1093</v>
      </c>
      <c r="CH2" s="75" t="s">
        <v>1094</v>
      </c>
    </row>
    <row r="3" spans="1:86" ht="12.75" x14ac:dyDescent="0.2">
      <c r="A3" s="27" t="s">
        <v>1095</v>
      </c>
      <c r="B3" s="27" t="s">
        <v>1096</v>
      </c>
      <c r="C3" s="27"/>
      <c r="D3" s="27" t="s">
        <v>1097</v>
      </c>
      <c r="BP3" s="36"/>
      <c r="BQ3" s="36"/>
      <c r="BR3" s="36"/>
      <c r="BS3" s="36"/>
      <c r="BT3" s="36"/>
      <c r="BU3" s="36"/>
      <c r="BV3" s="36"/>
      <c r="BW3" s="36"/>
      <c r="BX3" s="36"/>
      <c r="BY3" s="36"/>
      <c r="BZ3" s="36"/>
      <c r="CA3" s="36"/>
      <c r="CB3" s="36"/>
      <c r="CC3" s="36"/>
      <c r="CD3" s="36"/>
      <c r="CE3" s="36"/>
    </row>
    <row r="4" spans="1:86" ht="12.75" x14ac:dyDescent="0.2">
      <c r="C4" s="27"/>
      <c r="D4" s="27" t="s">
        <v>1098</v>
      </c>
    </row>
    <row r="5" spans="1:86" ht="12.75" x14ac:dyDescent="0.2">
      <c r="B5" s="27" t="s">
        <v>1099</v>
      </c>
      <c r="C5" s="27"/>
      <c r="D5" s="27" t="s">
        <v>1097</v>
      </c>
    </row>
    <row r="6" spans="1:86" ht="12.75" x14ac:dyDescent="0.2">
      <c r="C6" s="27"/>
      <c r="D6" s="27" t="s">
        <v>1098</v>
      </c>
    </row>
    <row r="7" spans="1:86" ht="12.75" x14ac:dyDescent="0.2">
      <c r="B7" s="27" t="s">
        <v>1100</v>
      </c>
      <c r="C7" s="27"/>
      <c r="D7" s="27" t="s">
        <v>1097</v>
      </c>
    </row>
    <row r="8" spans="1:86" ht="12.75" x14ac:dyDescent="0.2">
      <c r="C8" s="27"/>
      <c r="D8" s="27" t="s">
        <v>1098</v>
      </c>
    </row>
    <row r="9" spans="1:86" ht="12.75" x14ac:dyDescent="0.2">
      <c r="A9" s="27" t="s">
        <v>1101</v>
      </c>
      <c r="B9" s="27" t="s">
        <v>1102</v>
      </c>
      <c r="C9" s="27"/>
      <c r="D9" s="27" t="s">
        <v>1097</v>
      </c>
    </row>
    <row r="10" spans="1:86" ht="12.75" x14ac:dyDescent="0.2">
      <c r="C10" s="27"/>
      <c r="D10" s="27" t="s">
        <v>1098</v>
      </c>
    </row>
    <row r="11" spans="1:86" ht="12.75" x14ac:dyDescent="0.2">
      <c r="B11" s="27" t="s">
        <v>1103</v>
      </c>
      <c r="C11" s="27"/>
      <c r="D11" s="27" t="s">
        <v>1097</v>
      </c>
    </row>
    <row r="12" spans="1:86" ht="12.75" x14ac:dyDescent="0.2">
      <c r="C12" s="27"/>
      <c r="D12" s="27" t="s">
        <v>1098</v>
      </c>
    </row>
    <row r="13" spans="1:86" ht="12.75" x14ac:dyDescent="0.2">
      <c r="B13" s="27" t="s">
        <v>1104</v>
      </c>
      <c r="C13" s="27"/>
      <c r="D13" s="27" t="s">
        <v>1097</v>
      </c>
    </row>
    <row r="14" spans="1:86" ht="12.75" x14ac:dyDescent="0.2">
      <c r="C14" s="27"/>
      <c r="D14" s="27" t="s">
        <v>1098</v>
      </c>
    </row>
    <row r="15" spans="1:86" ht="12.75" x14ac:dyDescent="0.2">
      <c r="A15" s="27" t="s">
        <v>1105</v>
      </c>
      <c r="B15" s="27" t="s">
        <v>1106</v>
      </c>
      <c r="C15" s="27"/>
      <c r="D15" s="27" t="s">
        <v>1097</v>
      </c>
      <c r="E15" s="27">
        <v>2</v>
      </c>
      <c r="F15" s="27">
        <v>1</v>
      </c>
      <c r="G15" s="27">
        <v>400</v>
      </c>
      <c r="H15" s="27">
        <v>2000</v>
      </c>
      <c r="I15" s="27" t="s">
        <v>661</v>
      </c>
      <c r="J15" s="27" t="s">
        <v>661</v>
      </c>
      <c r="K15" s="27" t="s">
        <v>661</v>
      </c>
      <c r="L15" s="27" t="s">
        <v>661</v>
      </c>
      <c r="M15" s="27" t="s">
        <v>661</v>
      </c>
      <c r="N15" s="27" t="s">
        <v>661</v>
      </c>
      <c r="O15" s="27" t="s">
        <v>661</v>
      </c>
      <c r="P15" s="27">
        <v>400</v>
      </c>
      <c r="Q15" s="27">
        <v>15</v>
      </c>
      <c r="R15" s="27">
        <v>1</v>
      </c>
      <c r="U15" s="27">
        <v>2</v>
      </c>
      <c r="V15" s="27">
        <v>1</v>
      </c>
      <c r="W15" s="27">
        <v>6</v>
      </c>
      <c r="X15" s="27">
        <v>6</v>
      </c>
      <c r="Y15" s="27"/>
      <c r="Z15" s="27">
        <v>6</v>
      </c>
      <c r="AA15" s="27">
        <v>6</v>
      </c>
      <c r="AB15" s="27"/>
      <c r="AC15" s="27">
        <v>6</v>
      </c>
      <c r="AD15" s="27">
        <v>6</v>
      </c>
      <c r="AE15" s="27"/>
      <c r="AF15" s="27"/>
      <c r="AG15" s="27"/>
      <c r="AH15" s="27" t="s">
        <v>661</v>
      </c>
      <c r="AI15" s="27" t="s">
        <v>661</v>
      </c>
      <c r="AL15" s="90"/>
      <c r="AM15" s="90"/>
      <c r="AN15" s="90"/>
      <c r="AO15" s="90"/>
      <c r="AP15" s="90"/>
      <c r="AQ15" s="90"/>
      <c r="BL15" s="90"/>
      <c r="BM15" s="27">
        <v>1</v>
      </c>
    </row>
    <row r="16" spans="1:86" ht="12.75" x14ac:dyDescent="0.2">
      <c r="C16" s="27"/>
      <c r="D16" s="27" t="s">
        <v>1098</v>
      </c>
      <c r="E16" s="27">
        <v>2</v>
      </c>
      <c r="F16" s="27">
        <v>3</v>
      </c>
      <c r="G16" s="27">
        <v>500</v>
      </c>
      <c r="H16" s="27">
        <v>2500</v>
      </c>
      <c r="I16" s="27" t="s">
        <v>661</v>
      </c>
      <c r="J16" s="27" t="s">
        <v>661</v>
      </c>
      <c r="K16" s="27" t="s">
        <v>661</v>
      </c>
      <c r="L16" s="27" t="s">
        <v>661</v>
      </c>
      <c r="M16" s="27" t="s">
        <v>661</v>
      </c>
      <c r="N16" s="27" t="s">
        <v>661</v>
      </c>
      <c r="O16" s="27" t="s">
        <v>661</v>
      </c>
      <c r="P16" s="27">
        <v>500</v>
      </c>
      <c r="Q16" s="27">
        <v>19</v>
      </c>
      <c r="R16" s="27" t="s">
        <v>661</v>
      </c>
      <c r="U16" s="27">
        <v>2</v>
      </c>
      <c r="V16" s="27" t="s">
        <v>661</v>
      </c>
      <c r="W16" s="27">
        <v>6</v>
      </c>
      <c r="X16" s="27">
        <v>3</v>
      </c>
      <c r="Y16" s="27"/>
      <c r="Z16" s="27">
        <v>3</v>
      </c>
      <c r="AA16" s="27">
        <v>3</v>
      </c>
      <c r="AB16" s="27"/>
      <c r="AC16" s="27">
        <v>3</v>
      </c>
      <c r="AD16" s="27">
        <v>3</v>
      </c>
      <c r="AE16" s="27"/>
      <c r="AF16" s="27"/>
      <c r="AG16" s="27"/>
      <c r="AH16" s="27" t="s">
        <v>661</v>
      </c>
      <c r="AI16" s="27" t="s">
        <v>661</v>
      </c>
      <c r="AJ16" s="27"/>
      <c r="AK16" s="27">
        <v>130</v>
      </c>
      <c r="AL16" s="27" t="s">
        <v>661</v>
      </c>
      <c r="AM16" s="27">
        <v>2</v>
      </c>
      <c r="AN16" s="27">
        <v>4</v>
      </c>
      <c r="AO16" s="27" t="s">
        <v>661</v>
      </c>
      <c r="AP16" s="27" t="s">
        <v>661</v>
      </c>
      <c r="AQ16" s="27" t="s">
        <v>661</v>
      </c>
      <c r="AS16" s="27">
        <v>13</v>
      </c>
      <c r="AT16" s="90">
        <v>35</v>
      </c>
      <c r="AY16" s="27">
        <v>2</v>
      </c>
      <c r="BA16" s="27" t="s">
        <v>661</v>
      </c>
      <c r="BB16" s="27" t="s">
        <v>661</v>
      </c>
      <c r="BE16" s="27" t="s">
        <v>661</v>
      </c>
      <c r="BI16" s="27" t="s">
        <v>661</v>
      </c>
      <c r="BL16" s="90"/>
      <c r="BM16" s="27">
        <v>1</v>
      </c>
    </row>
    <row r="17" spans="1:86" ht="12.75" x14ac:dyDescent="0.2">
      <c r="B17" s="27" t="s">
        <v>1107</v>
      </c>
      <c r="C17" s="27"/>
      <c r="D17" s="27" t="s">
        <v>1097</v>
      </c>
      <c r="E17" s="27">
        <v>2</v>
      </c>
      <c r="F17" s="27">
        <v>0</v>
      </c>
      <c r="G17" s="27">
        <v>400</v>
      </c>
      <c r="H17" s="27">
        <v>2000</v>
      </c>
      <c r="I17" s="27" t="s">
        <v>661</v>
      </c>
      <c r="J17" s="27" t="s">
        <v>661</v>
      </c>
      <c r="K17" s="27" t="s">
        <v>661</v>
      </c>
      <c r="L17" s="27" t="s">
        <v>661</v>
      </c>
      <c r="M17" s="27" t="s">
        <v>661</v>
      </c>
      <c r="N17" s="27" t="s">
        <v>661</v>
      </c>
      <c r="O17" s="27" t="s">
        <v>661</v>
      </c>
      <c r="P17" s="27">
        <v>400</v>
      </c>
      <c r="Q17" s="27">
        <v>17</v>
      </c>
      <c r="R17" s="27" t="s">
        <v>661</v>
      </c>
      <c r="U17" s="27">
        <v>2</v>
      </c>
      <c r="V17" s="27" t="s">
        <v>661</v>
      </c>
      <c r="W17" s="27">
        <v>6</v>
      </c>
      <c r="X17" s="27">
        <v>6</v>
      </c>
      <c r="Y17" s="27"/>
      <c r="Z17" s="27">
        <v>6</v>
      </c>
      <c r="AA17" s="27">
        <v>6</v>
      </c>
      <c r="AB17" s="27"/>
      <c r="AC17" s="27">
        <v>6</v>
      </c>
      <c r="AD17" s="27">
        <v>6</v>
      </c>
      <c r="AE17" s="27"/>
      <c r="AF17" s="27"/>
      <c r="AG17" s="27"/>
      <c r="AH17" s="27" t="s">
        <v>661</v>
      </c>
      <c r="AI17" s="27" t="s">
        <v>661</v>
      </c>
      <c r="AJ17" s="27"/>
      <c r="AK17" s="27">
        <v>150</v>
      </c>
      <c r="AL17" s="27" t="s">
        <v>661</v>
      </c>
      <c r="AM17" s="27">
        <v>2</v>
      </c>
      <c r="AN17" s="27">
        <v>1</v>
      </c>
      <c r="AO17" s="27" t="s">
        <v>661</v>
      </c>
      <c r="AP17" s="27" t="s">
        <v>661</v>
      </c>
      <c r="AQ17" s="27" t="s">
        <v>661</v>
      </c>
      <c r="AS17" s="27">
        <v>13</v>
      </c>
      <c r="AT17" s="90">
        <v>36</v>
      </c>
      <c r="AY17" s="27">
        <v>1</v>
      </c>
      <c r="BA17" s="27" t="s">
        <v>661</v>
      </c>
      <c r="BB17" s="27" t="s">
        <v>661</v>
      </c>
      <c r="BE17" s="27" t="s">
        <v>661</v>
      </c>
      <c r="BI17" s="27" t="s">
        <v>661</v>
      </c>
      <c r="BL17" s="90"/>
      <c r="BM17" s="27">
        <v>4</v>
      </c>
    </row>
    <row r="18" spans="1:86" ht="12.75" x14ac:dyDescent="0.2">
      <c r="C18" s="27"/>
      <c r="D18" s="27" t="s">
        <v>1098</v>
      </c>
      <c r="E18" s="27">
        <v>2</v>
      </c>
      <c r="F18" s="27">
        <v>4</v>
      </c>
      <c r="G18" s="27">
        <v>500</v>
      </c>
      <c r="H18" s="27">
        <v>2500</v>
      </c>
      <c r="I18" s="27" t="s">
        <v>661</v>
      </c>
      <c r="J18" s="27" t="s">
        <v>661</v>
      </c>
      <c r="K18" s="27" t="s">
        <v>661</v>
      </c>
      <c r="L18" s="27" t="s">
        <v>661</v>
      </c>
      <c r="M18" s="27" t="s">
        <v>661</v>
      </c>
      <c r="N18" s="27" t="s">
        <v>661</v>
      </c>
      <c r="O18" s="27" t="s">
        <v>661</v>
      </c>
      <c r="P18" s="27">
        <v>500</v>
      </c>
      <c r="Q18" s="27">
        <v>13</v>
      </c>
      <c r="R18" s="27" t="s">
        <v>661</v>
      </c>
      <c r="U18" s="27">
        <v>2</v>
      </c>
      <c r="V18" s="27" t="s">
        <v>661</v>
      </c>
      <c r="W18" s="27">
        <v>3</v>
      </c>
      <c r="X18" s="27">
        <v>3</v>
      </c>
      <c r="Y18" s="27"/>
      <c r="Z18" s="27">
        <v>3</v>
      </c>
      <c r="AA18" s="27">
        <v>3</v>
      </c>
      <c r="AB18" s="27"/>
      <c r="AC18" s="27">
        <v>3</v>
      </c>
      <c r="AD18" s="27">
        <v>3</v>
      </c>
      <c r="AE18" s="27"/>
      <c r="AF18" s="27"/>
      <c r="AG18" s="27"/>
      <c r="AH18" s="27" t="s">
        <v>661</v>
      </c>
      <c r="AI18" s="27" t="s">
        <v>661</v>
      </c>
      <c r="AJ18" s="27"/>
      <c r="AK18" s="27">
        <v>170</v>
      </c>
      <c r="AL18" s="27">
        <v>8</v>
      </c>
      <c r="AM18" s="27">
        <v>4</v>
      </c>
      <c r="AN18" s="27">
        <v>6</v>
      </c>
      <c r="AO18" s="27" t="s">
        <v>661</v>
      </c>
      <c r="AP18" s="27" t="s">
        <v>661</v>
      </c>
      <c r="AQ18" s="27" t="s">
        <v>661</v>
      </c>
      <c r="AS18" s="27">
        <v>13</v>
      </c>
      <c r="AT18" s="90">
        <v>21</v>
      </c>
      <c r="AY18" s="27" t="s">
        <v>661</v>
      </c>
      <c r="BA18" s="27" t="s">
        <v>661</v>
      </c>
      <c r="BB18" s="27" t="s">
        <v>661</v>
      </c>
      <c r="BE18" s="27">
        <v>1</v>
      </c>
      <c r="BI18" s="27" t="s">
        <v>661</v>
      </c>
      <c r="BL18" s="90"/>
      <c r="BM18" s="27">
        <v>5</v>
      </c>
    </row>
    <row r="19" spans="1:86" ht="15" x14ac:dyDescent="0.25">
      <c r="B19" s="27" t="s">
        <v>1108</v>
      </c>
      <c r="C19" s="27"/>
      <c r="D19" s="27" t="s">
        <v>1097</v>
      </c>
      <c r="E19" s="27">
        <v>2</v>
      </c>
      <c r="F19" s="27">
        <v>1</v>
      </c>
      <c r="G19" s="27">
        <v>23148</v>
      </c>
      <c r="H19" s="27">
        <v>115740</v>
      </c>
      <c r="I19" s="27" t="s">
        <v>661</v>
      </c>
      <c r="J19" s="27" t="s">
        <v>661</v>
      </c>
      <c r="K19" s="27" t="s">
        <v>661</v>
      </c>
      <c r="L19" s="27" t="s">
        <v>661</v>
      </c>
      <c r="M19" s="27" t="s">
        <v>661</v>
      </c>
      <c r="N19" s="27" t="s">
        <v>661</v>
      </c>
      <c r="O19" s="27" t="s">
        <v>661</v>
      </c>
      <c r="P19" s="27">
        <v>100</v>
      </c>
      <c r="Q19" s="27">
        <v>8</v>
      </c>
      <c r="R19" s="27" t="s">
        <v>661</v>
      </c>
      <c r="U19" s="27">
        <v>2</v>
      </c>
      <c r="V19" s="27" t="s">
        <v>661</v>
      </c>
      <c r="W19" s="27">
        <v>6</v>
      </c>
      <c r="X19" s="27">
        <v>6</v>
      </c>
      <c r="Y19" s="27"/>
      <c r="Z19" s="27">
        <v>6</v>
      </c>
      <c r="AA19" s="27">
        <v>6</v>
      </c>
      <c r="AB19" s="27"/>
      <c r="AC19" s="27">
        <v>6</v>
      </c>
      <c r="AD19" s="27">
        <v>6</v>
      </c>
      <c r="AE19" s="27"/>
      <c r="AF19" s="27"/>
      <c r="AG19" s="27"/>
      <c r="AH19" s="27" t="s">
        <v>661</v>
      </c>
      <c r="AI19" s="27" t="s">
        <v>661</v>
      </c>
      <c r="AJ19" s="27"/>
      <c r="AK19" s="27">
        <v>190</v>
      </c>
      <c r="AL19" s="27">
        <v>8</v>
      </c>
      <c r="AM19" s="27">
        <v>4</v>
      </c>
      <c r="AN19" s="27">
        <v>1</v>
      </c>
      <c r="AO19" s="27" t="s">
        <v>661</v>
      </c>
      <c r="AP19" s="27" t="s">
        <v>661</v>
      </c>
      <c r="AQ19" s="27" t="s">
        <v>661</v>
      </c>
      <c r="AS19" s="27">
        <v>13</v>
      </c>
      <c r="AT19" s="90">
        <v>21</v>
      </c>
      <c r="AY19" s="27" t="s">
        <v>661</v>
      </c>
      <c r="BA19" s="27" t="s">
        <v>661</v>
      </c>
      <c r="BB19" s="27" t="s">
        <v>661</v>
      </c>
      <c r="BE19" s="27" t="s">
        <v>661</v>
      </c>
      <c r="BI19" s="27">
        <v>1</v>
      </c>
      <c r="BL19" s="90"/>
      <c r="BM19" s="27">
        <v>1</v>
      </c>
      <c r="BO19" s="27">
        <v>2</v>
      </c>
      <c r="BR19" s="27">
        <v>2</v>
      </c>
      <c r="BV19" s="27">
        <v>2</v>
      </c>
      <c r="CF19" s="91"/>
      <c r="CG19" s="27">
        <v>400</v>
      </c>
      <c r="CH19" s="27">
        <v>23048</v>
      </c>
    </row>
    <row r="20" spans="1:86" ht="21.75" customHeight="1" x14ac:dyDescent="0.2">
      <c r="A20" s="92" t="s">
        <v>144</v>
      </c>
      <c r="C20" s="27"/>
      <c r="D20" s="27"/>
      <c r="E20" s="27"/>
      <c r="F20" s="27"/>
      <c r="G20" s="27"/>
      <c r="H20" s="27"/>
      <c r="I20" s="27"/>
      <c r="J20" s="27"/>
      <c r="K20" s="27"/>
      <c r="L20" s="27"/>
      <c r="M20" s="27"/>
      <c r="N20" s="27"/>
      <c r="O20" s="27"/>
      <c r="P20" s="27"/>
      <c r="Q20" s="27"/>
      <c r="R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S20" s="27"/>
      <c r="AT20" s="90"/>
      <c r="AX20" s="27"/>
      <c r="AY20" s="27"/>
      <c r="AZ20" s="27"/>
      <c r="BA20" s="27"/>
      <c r="BB20" s="27"/>
      <c r="BC20" s="27"/>
      <c r="BD20" s="27"/>
      <c r="BE20" s="27"/>
      <c r="BI20" s="27"/>
      <c r="BL20" s="90"/>
      <c r="BM20" s="27"/>
      <c r="BO20" s="27"/>
      <c r="BR20" s="27"/>
      <c r="BV20" s="27"/>
      <c r="CF20" s="93"/>
      <c r="CG20" s="27"/>
      <c r="CH20" s="27"/>
    </row>
    <row r="21" spans="1:86" ht="142.5" x14ac:dyDescent="0.2">
      <c r="C21" s="27"/>
      <c r="D21" s="27" t="s">
        <v>1098</v>
      </c>
      <c r="E21" s="27">
        <v>2</v>
      </c>
      <c r="F21" s="27">
        <v>3</v>
      </c>
      <c r="G21" s="27">
        <v>7730</v>
      </c>
      <c r="H21" s="27">
        <v>38650</v>
      </c>
      <c r="I21" s="27" t="s">
        <v>661</v>
      </c>
      <c r="J21" s="27" t="s">
        <v>661</v>
      </c>
      <c r="K21" s="27" t="s">
        <v>661</v>
      </c>
      <c r="L21" s="27" t="s">
        <v>661</v>
      </c>
      <c r="M21" s="27" t="s">
        <v>661</v>
      </c>
      <c r="N21" s="27" t="s">
        <v>661</v>
      </c>
      <c r="O21" s="27" t="s">
        <v>661</v>
      </c>
      <c r="P21" s="27">
        <v>105</v>
      </c>
      <c r="Q21" s="27">
        <v>6</v>
      </c>
      <c r="R21" s="27">
        <v>2</v>
      </c>
      <c r="U21" s="27">
        <v>2</v>
      </c>
      <c r="V21" s="27">
        <v>2</v>
      </c>
      <c r="W21" s="27">
        <v>3</v>
      </c>
      <c r="X21" s="27">
        <v>3</v>
      </c>
      <c r="Y21" s="27"/>
      <c r="Z21" s="27">
        <v>3</v>
      </c>
      <c r="AA21" s="27">
        <v>3</v>
      </c>
      <c r="AB21" s="27"/>
      <c r="AC21" s="27">
        <v>3</v>
      </c>
      <c r="AD21" s="27">
        <v>3</v>
      </c>
      <c r="AE21" s="27"/>
      <c r="AF21" s="27"/>
      <c r="AG21" s="27"/>
      <c r="AH21" s="27" t="s">
        <v>661</v>
      </c>
      <c r="AI21" s="27" t="s">
        <v>661</v>
      </c>
      <c r="AJ21" s="27"/>
      <c r="AK21" s="27">
        <v>104</v>
      </c>
      <c r="AL21" s="27">
        <v>3</v>
      </c>
      <c r="AM21" s="27">
        <v>5</v>
      </c>
      <c r="AN21" s="27">
        <v>3</v>
      </c>
      <c r="AO21" s="27" t="s">
        <v>661</v>
      </c>
      <c r="AP21" s="27" t="s">
        <v>661</v>
      </c>
      <c r="AQ21" s="27" t="s">
        <v>661</v>
      </c>
      <c r="AS21" s="27">
        <v>13</v>
      </c>
      <c r="AT21" s="90">
        <v>21</v>
      </c>
      <c r="AX21" s="27">
        <v>5</v>
      </c>
      <c r="AY21" s="27" t="s">
        <v>661</v>
      </c>
      <c r="AZ21" s="27">
        <v>1</v>
      </c>
      <c r="BA21" s="27" t="s">
        <v>661</v>
      </c>
      <c r="BB21" s="27" t="s">
        <v>661</v>
      </c>
      <c r="BC21" s="27">
        <v>2</v>
      </c>
      <c r="BD21" s="27">
        <v>64</v>
      </c>
      <c r="BE21" s="27">
        <v>18</v>
      </c>
      <c r="BI21" s="27">
        <v>5</v>
      </c>
      <c r="BL21" s="90"/>
      <c r="BM21" s="27">
        <v>1</v>
      </c>
      <c r="BO21" s="27">
        <v>2</v>
      </c>
      <c r="BR21" s="27">
        <v>2</v>
      </c>
      <c r="BV21" s="27">
        <v>2</v>
      </c>
      <c r="CF21" s="93" t="s">
        <v>1109</v>
      </c>
      <c r="CG21" s="27">
        <v>500</v>
      </c>
      <c r="CH21" s="27">
        <v>7625</v>
      </c>
    </row>
    <row r="22" spans="1:86" ht="12.75" x14ac:dyDescent="0.2">
      <c r="A22" s="27" t="s">
        <v>1110</v>
      </c>
      <c r="B22" s="27" t="s">
        <v>1111</v>
      </c>
      <c r="C22" s="27"/>
      <c r="D22" s="27" t="s">
        <v>1112</v>
      </c>
      <c r="E22" s="27">
        <v>2</v>
      </c>
      <c r="G22" s="27">
        <v>50</v>
      </c>
      <c r="H22" s="27">
        <v>150</v>
      </c>
      <c r="W22" s="27" t="s">
        <v>1113</v>
      </c>
      <c r="X22" s="27">
        <v>6</v>
      </c>
      <c r="AA22" s="27">
        <v>6</v>
      </c>
      <c r="AD22" s="27">
        <v>6</v>
      </c>
      <c r="AE22" s="27"/>
      <c r="AF22" s="27"/>
      <c r="AG22" s="27"/>
      <c r="AH22" s="27">
        <v>0</v>
      </c>
      <c r="AJ22" s="27"/>
      <c r="AK22" s="27">
        <v>150</v>
      </c>
      <c r="BL22" s="90"/>
    </row>
    <row r="23" spans="1:86" ht="12.75" x14ac:dyDescent="0.2">
      <c r="C23" s="27"/>
      <c r="D23" s="27" t="s">
        <v>1098</v>
      </c>
      <c r="E23" s="27">
        <v>2</v>
      </c>
      <c r="G23" s="27">
        <v>50</v>
      </c>
      <c r="H23" s="27">
        <v>150</v>
      </c>
      <c r="X23" s="27">
        <v>3</v>
      </c>
      <c r="AA23" s="27">
        <v>5</v>
      </c>
      <c r="AD23" s="27">
        <v>5</v>
      </c>
      <c r="AJ23" s="27"/>
      <c r="AK23" s="27">
        <v>150</v>
      </c>
      <c r="BL23" s="90"/>
      <c r="CD23" s="27">
        <v>3</v>
      </c>
    </row>
    <row r="24" spans="1:86" ht="12.75" x14ac:dyDescent="0.2">
      <c r="B24" s="27" t="s">
        <v>1114</v>
      </c>
      <c r="C24" s="27"/>
      <c r="D24" s="27" t="s">
        <v>1112</v>
      </c>
      <c r="E24" s="27">
        <v>2</v>
      </c>
      <c r="F24" s="27">
        <v>1</v>
      </c>
      <c r="G24" s="27">
        <v>192</v>
      </c>
      <c r="H24" s="27">
        <v>960</v>
      </c>
      <c r="O24" s="27">
        <v>700</v>
      </c>
      <c r="P24" s="27">
        <v>438</v>
      </c>
      <c r="Q24" s="27">
        <v>145</v>
      </c>
      <c r="R24" s="27">
        <v>0</v>
      </c>
      <c r="S24" s="27">
        <v>6</v>
      </c>
      <c r="T24" s="27">
        <v>1</v>
      </c>
      <c r="V24" s="27">
        <v>0</v>
      </c>
      <c r="X24" s="27">
        <v>5</v>
      </c>
      <c r="AA24" s="27">
        <v>5</v>
      </c>
      <c r="AD24" s="27">
        <v>4</v>
      </c>
      <c r="AJ24" s="27"/>
      <c r="AK24" s="27">
        <v>275</v>
      </c>
      <c r="CD24" s="27">
        <v>3</v>
      </c>
    </row>
    <row r="25" spans="1:86" ht="12.75" x14ac:dyDescent="0.2">
      <c r="C25" s="27"/>
      <c r="D25" s="27" t="s">
        <v>1115</v>
      </c>
      <c r="E25" s="27">
        <v>2</v>
      </c>
      <c r="F25" s="27">
        <v>0</v>
      </c>
      <c r="G25" s="27">
        <v>314</v>
      </c>
      <c r="H25" s="27">
        <v>1570</v>
      </c>
      <c r="O25" s="27">
        <v>650</v>
      </c>
      <c r="P25" s="27">
        <v>417</v>
      </c>
      <c r="Q25" s="27">
        <v>244</v>
      </c>
      <c r="R25" s="27">
        <v>1</v>
      </c>
      <c r="S25" s="27">
        <v>15</v>
      </c>
      <c r="T25" s="27">
        <v>5</v>
      </c>
      <c r="V25" s="27">
        <v>0</v>
      </c>
      <c r="X25" s="27">
        <v>7</v>
      </c>
      <c r="AA25" s="27">
        <v>7</v>
      </c>
      <c r="AD25" s="27">
        <v>8</v>
      </c>
      <c r="AJ25" s="27"/>
      <c r="AK25" s="27">
        <v>236</v>
      </c>
      <c r="CD25" s="27">
        <v>0</v>
      </c>
    </row>
    <row r="26" spans="1:86" ht="25.5" x14ac:dyDescent="0.2">
      <c r="B26" s="27" t="s">
        <v>1116</v>
      </c>
      <c r="C26" s="27"/>
      <c r="D26" s="27" t="s">
        <v>1112</v>
      </c>
      <c r="E26" s="27">
        <v>2</v>
      </c>
      <c r="F26" s="27">
        <v>1</v>
      </c>
      <c r="G26" s="27">
        <v>1184</v>
      </c>
      <c r="H26" s="27">
        <v>5920</v>
      </c>
      <c r="O26" s="27">
        <v>700</v>
      </c>
      <c r="P26" s="27">
        <v>766</v>
      </c>
      <c r="Q26" s="27">
        <v>132</v>
      </c>
      <c r="R26" s="27">
        <v>0</v>
      </c>
      <c r="S26" s="27">
        <v>6</v>
      </c>
      <c r="T26" s="27">
        <v>4</v>
      </c>
      <c r="V26" s="27">
        <v>0</v>
      </c>
      <c r="X26" s="27">
        <v>5</v>
      </c>
      <c r="Y26" s="27"/>
      <c r="Z26" s="27">
        <v>0</v>
      </c>
      <c r="AA26" s="27">
        <v>4</v>
      </c>
      <c r="AD26" s="27">
        <v>6</v>
      </c>
      <c r="AE26" s="36"/>
      <c r="AF26" s="36"/>
      <c r="AG26" s="36"/>
      <c r="AH26" s="36" t="s">
        <v>1117</v>
      </c>
      <c r="AJ26" s="27"/>
      <c r="AK26" s="27">
        <v>702</v>
      </c>
      <c r="AL26" s="27">
        <v>1</v>
      </c>
      <c r="AM26" s="27">
        <v>4</v>
      </c>
      <c r="AN26" s="27">
        <v>1</v>
      </c>
      <c r="AO26" s="27">
        <v>1</v>
      </c>
      <c r="AP26" s="27">
        <v>2</v>
      </c>
      <c r="BM26" s="27">
        <v>1</v>
      </c>
      <c r="BO26" s="27">
        <v>1</v>
      </c>
      <c r="BU26" s="27">
        <v>1</v>
      </c>
      <c r="CD26" s="27">
        <v>0</v>
      </c>
    </row>
    <row r="27" spans="1:86" ht="25.5" x14ac:dyDescent="0.2">
      <c r="C27" s="27"/>
      <c r="D27" s="27" t="s">
        <v>1115</v>
      </c>
      <c r="E27" s="27">
        <v>2</v>
      </c>
      <c r="F27" s="27">
        <v>0</v>
      </c>
      <c r="G27" s="27">
        <v>1454</v>
      </c>
      <c r="H27" s="27">
        <v>7270</v>
      </c>
      <c r="O27" s="27">
        <v>650</v>
      </c>
      <c r="P27" s="27">
        <v>757</v>
      </c>
      <c r="Q27" s="27">
        <v>145</v>
      </c>
      <c r="R27" s="27">
        <v>0</v>
      </c>
      <c r="S27" s="27">
        <v>17</v>
      </c>
      <c r="T27" s="27">
        <v>21</v>
      </c>
      <c r="V27" s="27">
        <v>0</v>
      </c>
      <c r="X27" s="27">
        <v>12</v>
      </c>
      <c r="AA27" s="27">
        <v>10</v>
      </c>
      <c r="AD27" s="27">
        <v>12</v>
      </c>
      <c r="AE27" s="36"/>
      <c r="AF27" s="36"/>
      <c r="AG27" s="36"/>
      <c r="AH27" s="36" t="s">
        <v>1118</v>
      </c>
      <c r="AJ27" s="27"/>
      <c r="AK27" s="27">
        <v>690</v>
      </c>
      <c r="AL27" s="27" t="s">
        <v>661</v>
      </c>
      <c r="AM27" s="27">
        <v>5</v>
      </c>
      <c r="AN27" s="27">
        <v>2</v>
      </c>
      <c r="AO27" s="27" t="s">
        <v>661</v>
      </c>
      <c r="AP27" s="27" t="s">
        <v>661</v>
      </c>
      <c r="AQ27" s="27" t="s">
        <v>661</v>
      </c>
      <c r="CD27" s="27">
        <v>1</v>
      </c>
    </row>
    <row r="28" spans="1:86" ht="12.75" x14ac:dyDescent="0.2">
      <c r="A28" s="27" t="s">
        <v>1119</v>
      </c>
      <c r="E28" s="27">
        <v>2</v>
      </c>
      <c r="G28" s="27">
        <v>3244</v>
      </c>
      <c r="H28" s="27">
        <v>16020</v>
      </c>
      <c r="P28" s="27">
        <v>2378</v>
      </c>
      <c r="Q28" s="27">
        <v>666</v>
      </c>
      <c r="R28" s="27">
        <v>1</v>
      </c>
      <c r="S28" s="27">
        <v>44</v>
      </c>
      <c r="X28" s="27">
        <v>65</v>
      </c>
      <c r="AA28" s="27">
        <v>37</v>
      </c>
      <c r="AD28" s="27">
        <v>41</v>
      </c>
      <c r="AE28" s="27"/>
      <c r="AF28" s="27"/>
      <c r="AG28" s="27"/>
      <c r="AH28" s="27">
        <v>27</v>
      </c>
      <c r="AJ28" s="27"/>
      <c r="AK28" s="27">
        <v>2203</v>
      </c>
      <c r="AL28" s="27">
        <v>1</v>
      </c>
      <c r="AM28" s="27">
        <v>4</v>
      </c>
      <c r="AN28" s="27">
        <v>1</v>
      </c>
      <c r="AO28" s="27">
        <v>1</v>
      </c>
      <c r="AP28" s="27">
        <v>2</v>
      </c>
      <c r="CD28" s="27">
        <v>2</v>
      </c>
    </row>
    <row r="29" spans="1:86" ht="12.75" x14ac:dyDescent="0.2">
      <c r="B29" s="27"/>
      <c r="C29" s="27"/>
      <c r="D29" s="27"/>
      <c r="E29" s="27"/>
      <c r="G29" s="27"/>
      <c r="H29" s="27"/>
      <c r="O29" s="27"/>
      <c r="P29" s="27"/>
      <c r="Q29" s="27"/>
      <c r="R29" s="27"/>
      <c r="S29" s="27"/>
      <c r="T29" s="27"/>
      <c r="V29" s="27"/>
      <c r="X29" s="27"/>
      <c r="AA29" s="27"/>
      <c r="AD29" s="27"/>
      <c r="AJ29" s="27"/>
      <c r="AK29" s="27"/>
      <c r="AL29" s="27"/>
      <c r="AM29" s="27"/>
      <c r="AN29" s="27"/>
    </row>
    <row r="30" spans="1:86" ht="12.75" x14ac:dyDescent="0.2">
      <c r="A30" s="27" t="s">
        <v>143</v>
      </c>
      <c r="B30" s="27" t="s">
        <v>1120</v>
      </c>
      <c r="C30" s="27"/>
      <c r="D30" s="27" t="s">
        <v>1097</v>
      </c>
      <c r="E30" s="27">
        <v>2</v>
      </c>
      <c r="F30" s="27">
        <v>0</v>
      </c>
      <c r="G30" s="27">
        <v>481</v>
      </c>
      <c r="H30" s="27">
        <v>2405</v>
      </c>
      <c r="O30" s="27">
        <v>650</v>
      </c>
      <c r="P30" s="27">
        <v>650</v>
      </c>
      <c r="Q30" s="27">
        <v>312</v>
      </c>
      <c r="R30" s="27">
        <v>5</v>
      </c>
      <c r="S30" s="27">
        <v>70</v>
      </c>
      <c r="T30" s="27">
        <v>32</v>
      </c>
      <c r="V30" s="27">
        <v>5</v>
      </c>
      <c r="X30" s="27">
        <v>3</v>
      </c>
      <c r="Y30" s="27">
        <v>200</v>
      </c>
      <c r="AA30" s="27">
        <v>3</v>
      </c>
      <c r="AD30" s="27">
        <v>3</v>
      </c>
      <c r="AJ30" s="27">
        <f t="shared" ref="AJ30:AJ74" si="0">SUM(P30+T30+Y30+AB30+AE30+AG30)</f>
        <v>882</v>
      </c>
      <c r="AK30" s="27">
        <v>665</v>
      </c>
      <c r="AL30" s="27">
        <v>56</v>
      </c>
      <c r="AM30" s="27">
        <v>17</v>
      </c>
      <c r="AN30" s="27">
        <v>10</v>
      </c>
      <c r="AO30" s="27">
        <v>0</v>
      </c>
      <c r="AP30" s="27">
        <v>2</v>
      </c>
      <c r="AQ30" s="27">
        <v>0</v>
      </c>
      <c r="AX30" s="27">
        <v>11</v>
      </c>
      <c r="AY30" s="27">
        <v>6</v>
      </c>
      <c r="BB30" s="27">
        <v>1</v>
      </c>
      <c r="BD30" s="27">
        <v>17</v>
      </c>
      <c r="BE30" s="27">
        <v>1</v>
      </c>
    </row>
    <row r="31" spans="1:86" ht="12.75" x14ac:dyDescent="0.2">
      <c r="C31" s="27"/>
      <c r="D31" s="27" t="s">
        <v>1115</v>
      </c>
      <c r="E31" s="27">
        <v>2</v>
      </c>
      <c r="F31" s="27">
        <v>0</v>
      </c>
      <c r="G31" s="27">
        <v>252</v>
      </c>
      <c r="H31" s="27">
        <v>1260</v>
      </c>
      <c r="O31" s="27">
        <v>600</v>
      </c>
      <c r="P31" s="27">
        <v>600</v>
      </c>
      <c r="Q31" s="27">
        <v>110</v>
      </c>
      <c r="R31" s="27">
        <v>9</v>
      </c>
      <c r="S31" s="27">
        <v>87</v>
      </c>
      <c r="T31" s="27">
        <v>37</v>
      </c>
      <c r="V31" s="27">
        <v>6</v>
      </c>
      <c r="X31" s="27">
        <v>3</v>
      </c>
      <c r="Y31" s="27">
        <v>200</v>
      </c>
      <c r="AA31" s="27">
        <v>4</v>
      </c>
      <c r="AD31" s="27">
        <v>3</v>
      </c>
      <c r="AJ31" s="27">
        <f t="shared" si="0"/>
        <v>837</v>
      </c>
      <c r="AK31" s="27">
        <v>1033</v>
      </c>
      <c r="AL31" s="27">
        <v>0</v>
      </c>
      <c r="AM31" s="27">
        <v>4</v>
      </c>
      <c r="AN31" s="27">
        <v>0</v>
      </c>
      <c r="AO31" s="27">
        <v>0</v>
      </c>
      <c r="AP31" s="27">
        <v>2</v>
      </c>
      <c r="AQ31" s="27">
        <v>0</v>
      </c>
      <c r="AX31" s="27">
        <v>1</v>
      </c>
      <c r="AY31" s="27">
        <v>0</v>
      </c>
      <c r="BB31" s="27">
        <v>0</v>
      </c>
      <c r="BC31" s="27">
        <v>1</v>
      </c>
      <c r="BD31" s="27">
        <v>0</v>
      </c>
      <c r="BO31" s="27">
        <v>1</v>
      </c>
      <c r="BU31" s="27">
        <v>1</v>
      </c>
    </row>
    <row r="32" spans="1:86" ht="12.75" x14ac:dyDescent="0.2">
      <c r="B32" s="27" t="s">
        <v>1121</v>
      </c>
      <c r="D32" s="27" t="s">
        <v>1112</v>
      </c>
      <c r="E32" s="27">
        <v>2</v>
      </c>
      <c r="F32" s="27">
        <v>0</v>
      </c>
      <c r="G32" s="27">
        <v>943</v>
      </c>
      <c r="H32" s="27">
        <v>4715</v>
      </c>
      <c r="O32" s="27">
        <v>600</v>
      </c>
      <c r="P32" s="27">
        <v>550</v>
      </c>
      <c r="Q32" s="27">
        <v>224</v>
      </c>
      <c r="R32" s="27">
        <v>4</v>
      </c>
      <c r="S32" s="27">
        <v>27</v>
      </c>
      <c r="T32" s="27">
        <v>25</v>
      </c>
      <c r="V32" s="27">
        <v>4</v>
      </c>
      <c r="X32" s="27">
        <v>3</v>
      </c>
      <c r="Y32" s="27">
        <v>200</v>
      </c>
      <c r="AA32" s="27">
        <v>3</v>
      </c>
      <c r="AD32" s="27">
        <v>3</v>
      </c>
      <c r="AJ32" s="27">
        <f t="shared" si="0"/>
        <v>775</v>
      </c>
      <c r="AK32" s="27">
        <v>1121</v>
      </c>
      <c r="AL32" s="27">
        <v>1</v>
      </c>
      <c r="AM32" s="27">
        <v>0</v>
      </c>
      <c r="AN32" s="27">
        <v>1</v>
      </c>
      <c r="AO32" s="27">
        <v>0</v>
      </c>
      <c r="AP32" s="27">
        <v>1</v>
      </c>
      <c r="AQ32" s="27">
        <v>0</v>
      </c>
      <c r="AX32" s="27">
        <v>2</v>
      </c>
      <c r="AY32" s="27">
        <v>0</v>
      </c>
      <c r="BB32" s="27">
        <v>0</v>
      </c>
      <c r="BC32" s="27">
        <v>0</v>
      </c>
      <c r="BD32" s="27">
        <v>0</v>
      </c>
      <c r="BM32" s="27">
        <v>1</v>
      </c>
      <c r="BO32" s="27">
        <v>2</v>
      </c>
      <c r="BS32" s="27">
        <v>2</v>
      </c>
    </row>
    <row r="33" spans="1:86" ht="12.75" x14ac:dyDescent="0.2">
      <c r="D33" s="27" t="s">
        <v>1115</v>
      </c>
      <c r="E33" s="27">
        <v>2</v>
      </c>
      <c r="F33" s="27">
        <v>0</v>
      </c>
      <c r="G33" s="27">
        <v>822</v>
      </c>
      <c r="H33" s="27">
        <v>4110</v>
      </c>
      <c r="O33" s="27">
        <v>600</v>
      </c>
      <c r="P33" s="27">
        <v>550</v>
      </c>
      <c r="Q33" s="27">
        <v>113</v>
      </c>
      <c r="R33" s="27">
        <v>2</v>
      </c>
      <c r="S33" s="27">
        <v>33</v>
      </c>
      <c r="T33" s="27">
        <v>37</v>
      </c>
      <c r="V33" s="27">
        <v>6</v>
      </c>
      <c r="X33" s="27">
        <v>3</v>
      </c>
      <c r="Y33" s="27">
        <v>200</v>
      </c>
      <c r="AA33" s="27">
        <v>3</v>
      </c>
      <c r="AD33" s="27">
        <v>3</v>
      </c>
      <c r="AJ33" s="27">
        <f t="shared" si="0"/>
        <v>787</v>
      </c>
      <c r="AK33" s="27">
        <v>792</v>
      </c>
      <c r="AL33" s="27">
        <v>0</v>
      </c>
      <c r="AM33" s="27">
        <v>4</v>
      </c>
      <c r="AN33" s="27">
        <v>1</v>
      </c>
      <c r="AO33" s="27">
        <v>0</v>
      </c>
      <c r="AP33" s="27">
        <v>0</v>
      </c>
      <c r="AQ33" s="27">
        <v>0</v>
      </c>
      <c r="AR33" s="27" t="s">
        <v>1122</v>
      </c>
      <c r="AX33" s="27">
        <v>1</v>
      </c>
      <c r="AY33" s="27">
        <v>1</v>
      </c>
      <c r="AZ33" s="27">
        <v>1</v>
      </c>
      <c r="BB33" s="27">
        <v>0</v>
      </c>
      <c r="BC33" s="27">
        <v>0</v>
      </c>
      <c r="BD33" s="27">
        <v>1</v>
      </c>
    </row>
    <row r="34" spans="1:86" ht="12.75" x14ac:dyDescent="0.2">
      <c r="B34" s="27" t="s">
        <v>1123</v>
      </c>
      <c r="D34" s="27" t="s">
        <v>1097</v>
      </c>
      <c r="E34" s="27">
        <v>2</v>
      </c>
      <c r="F34" s="27">
        <v>0</v>
      </c>
      <c r="G34" s="27">
        <v>1450</v>
      </c>
      <c r="H34" s="27">
        <v>7250</v>
      </c>
      <c r="O34" s="27">
        <v>600</v>
      </c>
      <c r="P34" s="27">
        <v>600</v>
      </c>
      <c r="Q34" s="27">
        <v>163</v>
      </c>
      <c r="R34" s="27">
        <v>7</v>
      </c>
      <c r="S34" s="27">
        <v>45</v>
      </c>
      <c r="T34" s="27">
        <v>36</v>
      </c>
      <c r="V34" s="27">
        <v>1</v>
      </c>
      <c r="X34" s="27">
        <v>3</v>
      </c>
      <c r="Y34" s="27">
        <v>200</v>
      </c>
      <c r="AA34" s="27">
        <v>3</v>
      </c>
      <c r="AD34" s="27">
        <v>6</v>
      </c>
      <c r="AJ34" s="27">
        <f t="shared" si="0"/>
        <v>836</v>
      </c>
      <c r="AK34" s="27">
        <v>1157</v>
      </c>
      <c r="AL34" s="27">
        <v>7</v>
      </c>
      <c r="AM34" s="27">
        <v>9</v>
      </c>
      <c r="AN34" s="27">
        <v>2</v>
      </c>
      <c r="AO34" s="27">
        <v>0</v>
      </c>
      <c r="AP34" s="27">
        <v>1</v>
      </c>
      <c r="AQ34" s="27">
        <v>1</v>
      </c>
      <c r="AX34" s="27">
        <v>0</v>
      </c>
      <c r="AY34" s="27">
        <v>0</v>
      </c>
      <c r="AZ34" s="27">
        <v>0</v>
      </c>
      <c r="BA34" s="27">
        <v>0</v>
      </c>
      <c r="BB34" s="27">
        <v>0</v>
      </c>
      <c r="BD34" s="27">
        <v>0</v>
      </c>
      <c r="BM34" s="27">
        <v>1</v>
      </c>
      <c r="BO34" s="27">
        <v>1</v>
      </c>
      <c r="BS34" s="27">
        <v>1</v>
      </c>
    </row>
    <row r="35" spans="1:86" ht="12.75" x14ac:dyDescent="0.2">
      <c r="D35" s="27" t="s">
        <v>1115</v>
      </c>
      <c r="E35" s="27">
        <v>2</v>
      </c>
      <c r="F35" s="27">
        <v>0</v>
      </c>
      <c r="G35" s="27">
        <v>1271</v>
      </c>
      <c r="H35" s="27">
        <v>6355</v>
      </c>
      <c r="O35" s="27">
        <v>600</v>
      </c>
      <c r="P35" s="27">
        <v>600</v>
      </c>
      <c r="Q35" s="27">
        <v>74</v>
      </c>
      <c r="R35" s="27">
        <v>7</v>
      </c>
      <c r="S35" s="27">
        <v>32</v>
      </c>
      <c r="T35" s="27">
        <v>35</v>
      </c>
      <c r="V35" s="27">
        <v>0</v>
      </c>
      <c r="X35" s="27">
        <v>3</v>
      </c>
      <c r="Y35" s="27">
        <v>200</v>
      </c>
      <c r="AA35" s="27">
        <v>3</v>
      </c>
      <c r="AD35" s="27">
        <v>6</v>
      </c>
      <c r="AJ35" s="27">
        <f t="shared" si="0"/>
        <v>835</v>
      </c>
      <c r="AK35" s="27">
        <v>770</v>
      </c>
      <c r="AL35" s="27">
        <v>4</v>
      </c>
      <c r="AM35" s="27">
        <v>3</v>
      </c>
      <c r="AN35" s="27">
        <v>0</v>
      </c>
      <c r="AO35" s="27">
        <v>0</v>
      </c>
      <c r="AP35" s="27">
        <v>1</v>
      </c>
      <c r="AQ35" s="27">
        <v>0</v>
      </c>
      <c r="AX35" s="27">
        <v>2</v>
      </c>
      <c r="AY35" s="27">
        <v>0</v>
      </c>
      <c r="BC35" s="27">
        <v>1</v>
      </c>
    </row>
    <row r="36" spans="1:86" ht="12.75" x14ac:dyDescent="0.2">
      <c r="A36" s="94"/>
      <c r="B36" s="94"/>
      <c r="C36" s="94"/>
      <c r="D36" s="94" t="s">
        <v>1124</v>
      </c>
      <c r="E36" s="94">
        <v>4</v>
      </c>
      <c r="F36" s="94">
        <v>0</v>
      </c>
      <c r="G36" s="94">
        <v>5219</v>
      </c>
      <c r="H36" s="94">
        <v>26095</v>
      </c>
      <c r="I36" s="94"/>
      <c r="J36" s="94"/>
      <c r="K36" s="94"/>
      <c r="L36" s="94"/>
      <c r="M36" s="94"/>
      <c r="N36" s="94"/>
      <c r="O36" s="94"/>
      <c r="P36" s="94">
        <v>3550</v>
      </c>
      <c r="Q36" s="94">
        <v>996</v>
      </c>
      <c r="R36" s="94">
        <v>34</v>
      </c>
      <c r="S36" s="94">
        <v>294</v>
      </c>
      <c r="T36" s="94">
        <v>202</v>
      </c>
      <c r="U36" s="94"/>
      <c r="V36" s="94">
        <v>22</v>
      </c>
      <c r="W36" s="94"/>
      <c r="X36" s="94">
        <v>18</v>
      </c>
      <c r="Y36" s="94">
        <v>1200</v>
      </c>
      <c r="Z36" s="94"/>
      <c r="AA36" s="94">
        <v>19</v>
      </c>
      <c r="AB36" s="94"/>
      <c r="AC36" s="94"/>
      <c r="AD36" s="94">
        <v>24</v>
      </c>
      <c r="AE36" s="94"/>
      <c r="AF36" s="94"/>
      <c r="AG36" s="94"/>
      <c r="AH36" s="94"/>
      <c r="AI36" s="94"/>
      <c r="AJ36" s="94">
        <f t="shared" si="0"/>
        <v>4952</v>
      </c>
      <c r="AK36" s="94">
        <v>5538</v>
      </c>
      <c r="AL36" s="94">
        <v>68</v>
      </c>
      <c r="AM36" s="94">
        <v>37</v>
      </c>
      <c r="AN36" s="94">
        <v>14</v>
      </c>
      <c r="AO36" s="94">
        <v>0</v>
      </c>
      <c r="AP36" s="94">
        <v>7</v>
      </c>
      <c r="AQ36" s="94">
        <v>1</v>
      </c>
      <c r="AR36" s="94">
        <v>2</v>
      </c>
      <c r="AS36" s="94"/>
      <c r="AT36" s="94"/>
      <c r="AU36" s="94"/>
      <c r="AV36" s="94"/>
      <c r="AW36" s="94"/>
      <c r="AX36" s="94">
        <v>17</v>
      </c>
      <c r="AY36" s="94">
        <v>7</v>
      </c>
      <c r="AZ36" s="94">
        <v>1</v>
      </c>
      <c r="BA36" s="94">
        <v>0</v>
      </c>
      <c r="BB36" s="94">
        <v>1</v>
      </c>
      <c r="BC36" s="94">
        <v>2</v>
      </c>
      <c r="BD36" s="94">
        <v>18</v>
      </c>
      <c r="BE36" s="94">
        <v>1</v>
      </c>
      <c r="BF36" s="94">
        <v>0</v>
      </c>
      <c r="BG36" s="94">
        <v>0</v>
      </c>
      <c r="BH36" s="94">
        <v>0</v>
      </c>
      <c r="BI36" s="94">
        <v>0</v>
      </c>
      <c r="BJ36" s="94">
        <v>0</v>
      </c>
      <c r="BK36" s="94">
        <v>0</v>
      </c>
      <c r="BL36" s="94">
        <v>0</v>
      </c>
      <c r="BM36" s="94">
        <v>2</v>
      </c>
      <c r="BN36" s="94">
        <v>0</v>
      </c>
      <c r="BO36" s="94">
        <v>5</v>
      </c>
      <c r="BP36" s="94"/>
      <c r="BQ36" s="94"/>
      <c r="BR36" s="94"/>
      <c r="BS36" s="94"/>
      <c r="BT36" s="94"/>
      <c r="BU36" s="94"/>
      <c r="BV36" s="94"/>
      <c r="BW36" s="94"/>
      <c r="BX36" s="94"/>
      <c r="BY36" s="94"/>
      <c r="BZ36" s="94"/>
      <c r="CA36" s="94"/>
      <c r="CB36" s="94"/>
      <c r="CC36" s="94"/>
      <c r="CD36" s="94"/>
      <c r="CE36" s="94"/>
      <c r="CF36" s="94"/>
      <c r="CG36" s="94"/>
      <c r="CH36" s="94"/>
    </row>
    <row r="37" spans="1:86" ht="12.75" x14ac:dyDescent="0.2">
      <c r="B37" s="27" t="s">
        <v>1125</v>
      </c>
      <c r="D37" s="27" t="s">
        <v>1097</v>
      </c>
      <c r="E37" s="27">
        <v>2</v>
      </c>
      <c r="F37" s="27">
        <v>2</v>
      </c>
      <c r="G37" s="27">
        <v>2073</v>
      </c>
      <c r="H37" s="27">
        <v>10365</v>
      </c>
      <c r="I37" s="27">
        <v>0</v>
      </c>
      <c r="J37" s="27">
        <v>0</v>
      </c>
      <c r="K37" s="27">
        <v>0</v>
      </c>
      <c r="L37" s="27">
        <v>0</v>
      </c>
      <c r="M37" s="27">
        <v>0</v>
      </c>
      <c r="N37" s="27">
        <v>0</v>
      </c>
      <c r="O37" s="27">
        <v>600</v>
      </c>
      <c r="P37" s="27">
        <v>600</v>
      </c>
      <c r="Q37" s="27">
        <v>203</v>
      </c>
      <c r="R37" s="27">
        <v>6</v>
      </c>
      <c r="S37" s="27">
        <v>30</v>
      </c>
      <c r="T37" s="27">
        <v>28</v>
      </c>
      <c r="V37" s="27">
        <v>3</v>
      </c>
      <c r="W37" s="27">
        <v>6</v>
      </c>
      <c r="X37" s="27">
        <v>5</v>
      </c>
      <c r="Y37" s="27">
        <v>200</v>
      </c>
      <c r="Z37" s="27">
        <v>6</v>
      </c>
      <c r="AA37" s="27">
        <v>6</v>
      </c>
      <c r="AC37" s="27">
        <v>6</v>
      </c>
      <c r="AD37" s="27">
        <v>6</v>
      </c>
      <c r="AJ37" s="27">
        <f t="shared" si="0"/>
        <v>828</v>
      </c>
      <c r="AK37" s="27">
        <v>1985</v>
      </c>
      <c r="AL37" s="27">
        <v>18</v>
      </c>
      <c r="AM37" s="27">
        <v>17</v>
      </c>
      <c r="AN37" s="27">
        <v>21</v>
      </c>
      <c r="AO37" s="27">
        <v>0</v>
      </c>
      <c r="AP37" s="27">
        <v>2</v>
      </c>
      <c r="AQ37" s="27">
        <v>0</v>
      </c>
      <c r="AR37" s="27">
        <v>0</v>
      </c>
      <c r="AU37" s="27">
        <v>0</v>
      </c>
      <c r="AV37" s="27">
        <v>0</v>
      </c>
      <c r="AW37" s="27">
        <v>0</v>
      </c>
      <c r="AX37" s="27">
        <v>13</v>
      </c>
      <c r="AY37" s="27">
        <v>1</v>
      </c>
      <c r="AZ37" s="27">
        <v>4</v>
      </c>
      <c r="BA37" s="27">
        <v>0</v>
      </c>
      <c r="BB37" s="27">
        <v>0</v>
      </c>
      <c r="BC37" s="27">
        <v>0</v>
      </c>
      <c r="BD37" s="27">
        <v>38</v>
      </c>
      <c r="BE37" s="27">
        <v>5</v>
      </c>
      <c r="BF37" s="27">
        <v>22</v>
      </c>
      <c r="BI37" s="27">
        <v>0</v>
      </c>
      <c r="BM37" s="27">
        <v>2</v>
      </c>
      <c r="BO37" s="27">
        <v>1</v>
      </c>
      <c r="BU37" s="27">
        <v>1</v>
      </c>
    </row>
    <row r="38" spans="1:86" ht="12.75" x14ac:dyDescent="0.2">
      <c r="D38" s="27" t="s">
        <v>1115</v>
      </c>
      <c r="E38" s="27">
        <v>2</v>
      </c>
      <c r="F38" s="27">
        <v>0</v>
      </c>
      <c r="G38" s="27">
        <v>1675</v>
      </c>
      <c r="H38" s="27">
        <v>8375</v>
      </c>
      <c r="I38" s="27">
        <v>0</v>
      </c>
      <c r="J38" s="27">
        <v>0</v>
      </c>
      <c r="K38" s="27">
        <v>0</v>
      </c>
      <c r="L38" s="27">
        <v>0</v>
      </c>
      <c r="M38" s="27">
        <v>0</v>
      </c>
      <c r="N38" s="27">
        <v>0</v>
      </c>
      <c r="O38" s="27">
        <v>600</v>
      </c>
      <c r="P38" s="27">
        <v>600</v>
      </c>
      <c r="Q38" s="27">
        <v>148</v>
      </c>
      <c r="R38" s="27">
        <v>5</v>
      </c>
      <c r="S38" s="27">
        <v>30</v>
      </c>
      <c r="T38" s="27">
        <v>20</v>
      </c>
      <c r="V38" s="27">
        <v>4</v>
      </c>
      <c r="W38" s="27">
        <v>6</v>
      </c>
      <c r="X38" s="27">
        <v>6</v>
      </c>
      <c r="Y38" s="27">
        <v>200</v>
      </c>
      <c r="Z38" s="27">
        <v>6</v>
      </c>
      <c r="AA38" s="27">
        <v>6</v>
      </c>
      <c r="AC38" s="27">
        <v>6</v>
      </c>
      <c r="AD38" s="27">
        <v>6</v>
      </c>
      <c r="AJ38" s="27">
        <f t="shared" si="0"/>
        <v>820</v>
      </c>
      <c r="AK38" s="27">
        <v>1535</v>
      </c>
      <c r="AL38" s="27">
        <v>12</v>
      </c>
      <c r="AM38" s="27">
        <v>8</v>
      </c>
      <c r="AN38" s="27">
        <v>21</v>
      </c>
      <c r="AO38" s="27">
        <v>0</v>
      </c>
      <c r="AP38" s="27">
        <v>5</v>
      </c>
      <c r="AQ38" s="27">
        <v>0</v>
      </c>
      <c r="AR38" s="27">
        <v>0</v>
      </c>
      <c r="AU38" s="27">
        <v>0</v>
      </c>
      <c r="AV38" s="27">
        <v>0</v>
      </c>
      <c r="AW38" s="27">
        <v>0</v>
      </c>
      <c r="AX38" s="27">
        <v>14</v>
      </c>
      <c r="AY38" s="27">
        <v>0</v>
      </c>
      <c r="AZ38" s="27">
        <v>1</v>
      </c>
      <c r="BA38" s="27">
        <v>0</v>
      </c>
      <c r="BB38" s="27">
        <v>0</v>
      </c>
      <c r="BC38" s="27">
        <v>1</v>
      </c>
      <c r="BD38" s="27">
        <v>5</v>
      </c>
      <c r="BE38" s="27">
        <v>4</v>
      </c>
      <c r="BF38" s="27">
        <v>20</v>
      </c>
      <c r="BI38" s="27">
        <v>0</v>
      </c>
      <c r="BM38" s="27">
        <v>5</v>
      </c>
      <c r="BO38" s="27">
        <v>2</v>
      </c>
      <c r="BT38" s="27">
        <v>1</v>
      </c>
      <c r="BU38" s="27">
        <v>1</v>
      </c>
      <c r="BV38" s="27">
        <v>1</v>
      </c>
    </row>
    <row r="39" spans="1:86" ht="12.75" x14ac:dyDescent="0.2">
      <c r="B39" s="27" t="s">
        <v>1126</v>
      </c>
      <c r="D39" s="27" t="s">
        <v>1112</v>
      </c>
      <c r="G39" s="27">
        <v>1854</v>
      </c>
      <c r="H39" s="27">
        <v>9270</v>
      </c>
      <c r="O39" s="27">
        <v>600</v>
      </c>
      <c r="P39" s="27">
        <v>500</v>
      </c>
      <c r="Q39" s="27">
        <v>215</v>
      </c>
      <c r="R39" s="27">
        <v>2</v>
      </c>
      <c r="S39" s="27">
        <v>30</v>
      </c>
      <c r="T39" s="27">
        <v>30</v>
      </c>
      <c r="V39" s="27">
        <v>0</v>
      </c>
      <c r="W39" s="27">
        <v>6</v>
      </c>
      <c r="X39" s="27">
        <v>5</v>
      </c>
      <c r="Y39" s="27">
        <v>200</v>
      </c>
      <c r="Z39" s="27">
        <v>6</v>
      </c>
      <c r="AA39" s="27">
        <v>6</v>
      </c>
      <c r="AB39" s="27">
        <v>200</v>
      </c>
      <c r="AC39" s="27">
        <v>6</v>
      </c>
      <c r="AD39" s="27">
        <v>7</v>
      </c>
      <c r="AE39" s="27">
        <v>200</v>
      </c>
      <c r="AJ39" s="27">
        <f t="shared" si="0"/>
        <v>1130</v>
      </c>
      <c r="AK39" s="27">
        <v>1623</v>
      </c>
      <c r="AL39" s="27">
        <v>24</v>
      </c>
      <c r="AM39" s="27">
        <v>23</v>
      </c>
      <c r="AN39" s="27">
        <v>16</v>
      </c>
      <c r="AO39" s="27">
        <v>0</v>
      </c>
      <c r="AP39" s="27">
        <v>0</v>
      </c>
      <c r="AQ39" s="27">
        <v>0</v>
      </c>
      <c r="AU39" s="27">
        <v>0</v>
      </c>
      <c r="AW39" s="27">
        <v>0</v>
      </c>
      <c r="AX39" s="27">
        <v>20</v>
      </c>
      <c r="AY39" s="27">
        <v>0</v>
      </c>
      <c r="AZ39" s="27">
        <v>6</v>
      </c>
      <c r="BA39" s="27">
        <v>0</v>
      </c>
      <c r="BB39" s="27">
        <v>0</v>
      </c>
      <c r="BC39" s="27">
        <v>0</v>
      </c>
      <c r="BD39" s="27">
        <v>0</v>
      </c>
      <c r="BE39" s="27">
        <v>11</v>
      </c>
      <c r="BF39" s="27">
        <v>182</v>
      </c>
      <c r="BM39" s="27">
        <v>2</v>
      </c>
      <c r="BO39" s="27">
        <v>1</v>
      </c>
      <c r="BS39" s="27">
        <v>1</v>
      </c>
    </row>
    <row r="40" spans="1:86" ht="12.75" x14ac:dyDescent="0.2">
      <c r="D40" s="27" t="s">
        <v>1115</v>
      </c>
      <c r="F40" s="27">
        <v>0</v>
      </c>
      <c r="G40" s="27">
        <v>1408</v>
      </c>
      <c r="H40" s="27">
        <v>7040</v>
      </c>
      <c r="O40" s="27">
        <v>600</v>
      </c>
      <c r="P40" s="27">
        <v>450</v>
      </c>
      <c r="Q40" s="27">
        <v>111</v>
      </c>
      <c r="R40" s="27">
        <v>0</v>
      </c>
      <c r="S40" s="27">
        <v>21</v>
      </c>
      <c r="T40" s="27">
        <v>20</v>
      </c>
      <c r="V40" s="27">
        <v>2</v>
      </c>
      <c r="W40" s="27">
        <v>6</v>
      </c>
      <c r="X40" s="27">
        <v>6</v>
      </c>
      <c r="Y40" s="27">
        <v>200</v>
      </c>
      <c r="Z40" s="27">
        <v>6</v>
      </c>
      <c r="AA40" s="27">
        <v>6</v>
      </c>
      <c r="AB40" s="27">
        <v>200</v>
      </c>
      <c r="AC40" s="27">
        <v>6</v>
      </c>
      <c r="AD40" s="27">
        <v>6</v>
      </c>
      <c r="AE40" s="27">
        <v>200</v>
      </c>
      <c r="AJ40" s="27">
        <f t="shared" si="0"/>
        <v>1070</v>
      </c>
      <c r="AK40" s="27">
        <v>1225</v>
      </c>
      <c r="AL40" s="27">
        <v>4</v>
      </c>
      <c r="AM40" s="27">
        <v>12</v>
      </c>
      <c r="AN40" s="27">
        <v>6</v>
      </c>
      <c r="AO40" s="27">
        <v>0</v>
      </c>
      <c r="AP40" s="27">
        <v>2</v>
      </c>
      <c r="AQ40" s="27">
        <v>0</v>
      </c>
      <c r="AU40" s="27">
        <v>0</v>
      </c>
      <c r="AW40" s="27">
        <v>0</v>
      </c>
      <c r="AX40" s="27">
        <v>0</v>
      </c>
      <c r="AY40" s="27">
        <v>0</v>
      </c>
      <c r="AZ40" s="27">
        <v>2</v>
      </c>
      <c r="BA40" s="27">
        <v>0</v>
      </c>
      <c r="BB40" s="27">
        <v>0</v>
      </c>
      <c r="BC40" s="27">
        <v>2</v>
      </c>
      <c r="BD40" s="27">
        <v>1</v>
      </c>
      <c r="BE40" s="27">
        <v>1</v>
      </c>
      <c r="BF40" s="27">
        <v>90</v>
      </c>
      <c r="BM40" s="27">
        <v>4</v>
      </c>
    </row>
    <row r="41" spans="1:86" ht="12.75" x14ac:dyDescent="0.2">
      <c r="B41" s="27" t="s">
        <v>1127</v>
      </c>
      <c r="D41" s="27" t="s">
        <v>1112</v>
      </c>
      <c r="E41" s="27">
        <v>2</v>
      </c>
      <c r="F41" s="27">
        <v>0</v>
      </c>
      <c r="G41" s="27">
        <v>1621</v>
      </c>
      <c r="H41" s="27">
        <v>8105</v>
      </c>
      <c r="O41" s="27">
        <v>600</v>
      </c>
      <c r="P41" s="27">
        <v>470</v>
      </c>
      <c r="Q41" s="27">
        <v>82</v>
      </c>
      <c r="R41" s="27">
        <v>4</v>
      </c>
      <c r="S41" s="27">
        <v>36</v>
      </c>
      <c r="T41" s="27">
        <v>45</v>
      </c>
      <c r="V41" s="27">
        <v>4</v>
      </c>
      <c r="W41" s="27">
        <v>6</v>
      </c>
      <c r="X41" s="27">
        <v>6</v>
      </c>
      <c r="Y41" s="27">
        <v>200</v>
      </c>
      <c r="Z41" s="27">
        <v>6</v>
      </c>
      <c r="AA41" s="27">
        <v>6</v>
      </c>
      <c r="AB41" s="27">
        <v>200</v>
      </c>
      <c r="AC41" s="27">
        <v>6</v>
      </c>
      <c r="AD41" s="27">
        <v>6</v>
      </c>
      <c r="AE41" s="27">
        <v>200</v>
      </c>
      <c r="AJ41" s="27">
        <f t="shared" si="0"/>
        <v>1115</v>
      </c>
      <c r="AK41" s="27">
        <v>1785</v>
      </c>
      <c r="AL41" s="27">
        <v>48</v>
      </c>
      <c r="AM41" s="27">
        <v>35</v>
      </c>
      <c r="AN41" s="27">
        <v>37</v>
      </c>
      <c r="AO41" s="27">
        <v>0</v>
      </c>
      <c r="AP41" s="27">
        <v>8</v>
      </c>
      <c r="AX41" s="27">
        <v>13</v>
      </c>
      <c r="AY41" s="27">
        <v>1</v>
      </c>
      <c r="AZ41" s="27">
        <v>11</v>
      </c>
      <c r="BC41" s="27">
        <v>0</v>
      </c>
      <c r="BD41" s="27">
        <v>6</v>
      </c>
      <c r="BE41" s="27">
        <v>8</v>
      </c>
      <c r="BF41" s="27">
        <v>65</v>
      </c>
      <c r="BM41" s="27">
        <v>11</v>
      </c>
      <c r="BO41" s="27">
        <v>11</v>
      </c>
      <c r="BQ41" s="27">
        <v>4</v>
      </c>
      <c r="BS41" s="27">
        <v>2</v>
      </c>
      <c r="BU41" s="27">
        <v>5</v>
      </c>
    </row>
    <row r="42" spans="1:86" ht="12.75" x14ac:dyDescent="0.2">
      <c r="D42" s="27" t="s">
        <v>1115</v>
      </c>
      <c r="E42" s="27">
        <v>2</v>
      </c>
      <c r="F42" s="27">
        <v>0</v>
      </c>
      <c r="G42" s="27">
        <v>1882</v>
      </c>
      <c r="H42" s="27">
        <v>9410</v>
      </c>
      <c r="O42" s="27">
        <v>600</v>
      </c>
      <c r="P42" s="27">
        <v>471</v>
      </c>
      <c r="Q42" s="27">
        <v>88</v>
      </c>
      <c r="R42" s="27">
        <v>2</v>
      </c>
      <c r="S42" s="27">
        <v>31</v>
      </c>
      <c r="T42" s="27">
        <v>30</v>
      </c>
      <c r="V42" s="27">
        <v>1</v>
      </c>
      <c r="W42" s="27">
        <v>6</v>
      </c>
      <c r="X42" s="27">
        <v>6</v>
      </c>
      <c r="Y42" s="27">
        <v>200</v>
      </c>
      <c r="Z42" s="27">
        <v>6</v>
      </c>
      <c r="AA42" s="27">
        <v>6</v>
      </c>
      <c r="AB42" s="27">
        <v>200</v>
      </c>
      <c r="AC42" s="27">
        <v>6</v>
      </c>
      <c r="AD42" s="27">
        <v>6</v>
      </c>
      <c r="AE42" s="27">
        <v>200</v>
      </c>
      <c r="AJ42" s="27">
        <f t="shared" si="0"/>
        <v>1101</v>
      </c>
      <c r="AK42" s="27">
        <v>1537</v>
      </c>
      <c r="AL42" s="27">
        <v>35</v>
      </c>
      <c r="AM42" s="27">
        <v>24</v>
      </c>
      <c r="AN42" s="27">
        <v>41</v>
      </c>
      <c r="AO42" s="27">
        <v>0</v>
      </c>
      <c r="AP42" s="27">
        <v>1</v>
      </c>
      <c r="AX42" s="27">
        <v>8</v>
      </c>
      <c r="AY42" s="27">
        <v>2</v>
      </c>
      <c r="AZ42" s="27">
        <v>2</v>
      </c>
      <c r="BC42" s="27">
        <v>7</v>
      </c>
      <c r="BD42" s="27">
        <v>7</v>
      </c>
      <c r="BE42" s="27">
        <v>0</v>
      </c>
      <c r="BF42" s="27">
        <v>31</v>
      </c>
      <c r="BM42" s="27">
        <v>13</v>
      </c>
      <c r="BO42" s="27">
        <v>0</v>
      </c>
    </row>
    <row r="43" spans="1:86" ht="12.75" x14ac:dyDescent="0.2">
      <c r="A43" s="94"/>
      <c r="B43" s="94" t="s">
        <v>1128</v>
      </c>
      <c r="C43" s="94"/>
      <c r="D43" s="94"/>
      <c r="E43" s="94"/>
      <c r="F43" s="94"/>
      <c r="G43" s="94">
        <v>10513</v>
      </c>
      <c r="H43" s="94">
        <v>52565</v>
      </c>
      <c r="I43" s="94"/>
      <c r="J43" s="94"/>
      <c r="K43" s="94"/>
      <c r="L43" s="94"/>
      <c r="M43" s="94"/>
      <c r="N43" s="94"/>
      <c r="O43" s="94"/>
      <c r="P43" s="94">
        <v>3091</v>
      </c>
      <c r="Q43" s="94">
        <v>847</v>
      </c>
      <c r="R43" s="94">
        <v>19</v>
      </c>
      <c r="S43" s="94">
        <v>178</v>
      </c>
      <c r="T43" s="94"/>
      <c r="U43" s="94"/>
      <c r="V43" s="94">
        <f t="shared" ref="V43:AA43" si="1">SUM(V37:V42)</f>
        <v>14</v>
      </c>
      <c r="W43" s="94">
        <f t="shared" si="1"/>
        <v>36</v>
      </c>
      <c r="X43" s="94">
        <f t="shared" si="1"/>
        <v>34</v>
      </c>
      <c r="Y43" s="94">
        <f t="shared" si="1"/>
        <v>1200</v>
      </c>
      <c r="Z43" s="94">
        <f t="shared" si="1"/>
        <v>36</v>
      </c>
      <c r="AA43" s="94">
        <f t="shared" si="1"/>
        <v>36</v>
      </c>
      <c r="AB43" s="94"/>
      <c r="AC43" s="94"/>
      <c r="AD43" s="94">
        <f>SUM(AD37:AD42)</f>
        <v>37</v>
      </c>
      <c r="AE43" s="94"/>
      <c r="AF43" s="94"/>
      <c r="AG43" s="94"/>
      <c r="AH43" s="94"/>
      <c r="AI43" s="94"/>
      <c r="AJ43" s="94">
        <f t="shared" si="0"/>
        <v>4291</v>
      </c>
      <c r="AK43" s="94"/>
      <c r="AL43" s="94">
        <v>141</v>
      </c>
      <c r="AM43" s="94">
        <v>119</v>
      </c>
      <c r="AN43" s="94">
        <v>142</v>
      </c>
      <c r="AO43" s="94">
        <v>0</v>
      </c>
      <c r="AP43" s="94">
        <v>18</v>
      </c>
      <c r="AQ43" s="94"/>
      <c r="AR43" s="94"/>
      <c r="AS43" s="94"/>
      <c r="AT43" s="94">
        <v>420</v>
      </c>
      <c r="AU43" s="94"/>
      <c r="AV43" s="94"/>
      <c r="AW43" s="94"/>
      <c r="AX43" s="94">
        <v>68</v>
      </c>
      <c r="AY43" s="94">
        <v>4</v>
      </c>
      <c r="AZ43" s="94">
        <v>26</v>
      </c>
      <c r="BA43" s="94"/>
      <c r="BB43" s="94">
        <v>0</v>
      </c>
      <c r="BC43" s="94">
        <v>10</v>
      </c>
      <c r="BD43" s="94">
        <v>57</v>
      </c>
      <c r="BE43" s="94">
        <v>29</v>
      </c>
      <c r="BF43" s="94">
        <v>410</v>
      </c>
      <c r="BG43" s="94"/>
      <c r="BH43" s="94"/>
      <c r="BI43" s="94"/>
      <c r="BJ43" s="94"/>
      <c r="BK43" s="94"/>
      <c r="BL43" s="94">
        <f>SUM(AU43:BJ43)</f>
        <v>604</v>
      </c>
      <c r="BM43" s="94">
        <v>37</v>
      </c>
      <c r="BN43" s="94"/>
      <c r="BO43" s="94"/>
      <c r="BP43" s="94"/>
      <c r="BQ43" s="94"/>
      <c r="BR43" s="94"/>
      <c r="BS43" s="94"/>
      <c r="BT43" s="94"/>
      <c r="BU43" s="94"/>
      <c r="BV43" s="94"/>
      <c r="BW43" s="94"/>
      <c r="BX43" s="94"/>
      <c r="BY43" s="94"/>
      <c r="BZ43" s="94"/>
      <c r="CA43" s="94"/>
      <c r="CB43" s="94"/>
      <c r="CC43" s="94"/>
      <c r="CD43" s="94"/>
      <c r="CE43" s="94"/>
      <c r="CF43" s="94"/>
      <c r="CG43" s="94"/>
      <c r="CH43" s="94"/>
    </row>
    <row r="44" spans="1:86" ht="12.75" x14ac:dyDescent="0.2">
      <c r="B44" s="27" t="s">
        <v>1129</v>
      </c>
      <c r="G44" s="27">
        <v>15732</v>
      </c>
      <c r="H44" s="27">
        <v>52565</v>
      </c>
      <c r="P44" s="27">
        <v>6641</v>
      </c>
      <c r="Q44" s="27">
        <v>1843</v>
      </c>
      <c r="R44" s="27">
        <v>53</v>
      </c>
      <c r="S44" s="27">
        <v>472</v>
      </c>
      <c r="T44" s="27">
        <v>375</v>
      </c>
      <c r="V44" s="90">
        <f>V36+V43</f>
        <v>36</v>
      </c>
      <c r="X44" s="90">
        <f>X36+X43</f>
        <v>52</v>
      </c>
      <c r="Y44" s="27">
        <v>2400</v>
      </c>
      <c r="AA44" s="90">
        <f>AA36+AA43</f>
        <v>55</v>
      </c>
      <c r="AC44" s="95"/>
      <c r="AD44" s="90">
        <f>AD36+AD43</f>
        <v>61</v>
      </c>
      <c r="AJ44" s="27">
        <f t="shared" si="0"/>
        <v>9416</v>
      </c>
      <c r="AK44" s="90">
        <v>15228</v>
      </c>
      <c r="AL44" s="27">
        <v>209</v>
      </c>
      <c r="AM44" s="27">
        <v>156</v>
      </c>
      <c r="AN44" s="27">
        <v>156</v>
      </c>
      <c r="AO44" s="27">
        <v>0</v>
      </c>
      <c r="AP44" s="27">
        <v>25</v>
      </c>
      <c r="AT44" s="90"/>
      <c r="AU44" s="27">
        <v>0</v>
      </c>
      <c r="AV44" s="27">
        <v>0</v>
      </c>
      <c r="AW44" s="27">
        <v>0</v>
      </c>
      <c r="AX44" s="27">
        <v>85</v>
      </c>
      <c r="AY44" s="27">
        <v>11</v>
      </c>
      <c r="AZ44" s="27">
        <v>27</v>
      </c>
      <c r="BA44" s="27">
        <v>0</v>
      </c>
      <c r="BB44" s="27">
        <v>1</v>
      </c>
      <c r="BC44" s="27">
        <v>12</v>
      </c>
      <c r="BD44" s="27">
        <v>75</v>
      </c>
      <c r="BE44" s="27">
        <v>30</v>
      </c>
      <c r="BF44" s="27">
        <v>410</v>
      </c>
      <c r="BG44" s="27">
        <v>0</v>
      </c>
      <c r="BH44" s="27">
        <v>0</v>
      </c>
      <c r="BI44" s="27">
        <v>0</v>
      </c>
      <c r="BJ44" s="27">
        <v>0</v>
      </c>
      <c r="BK44" s="27">
        <v>0</v>
      </c>
      <c r="BL44" s="27">
        <v>0</v>
      </c>
      <c r="BM44" s="27">
        <v>39</v>
      </c>
      <c r="BN44" s="27">
        <v>0</v>
      </c>
      <c r="BO44" s="27">
        <v>20</v>
      </c>
      <c r="BV44" s="27">
        <v>1</v>
      </c>
    </row>
    <row r="45" spans="1:86" ht="12.75" x14ac:dyDescent="0.2">
      <c r="B45" s="27" t="s">
        <v>1130</v>
      </c>
      <c r="D45" s="27" t="s">
        <v>1097</v>
      </c>
      <c r="G45" s="27">
        <v>1935</v>
      </c>
      <c r="H45" s="27">
        <v>9675</v>
      </c>
      <c r="O45" s="27">
        <v>600</v>
      </c>
      <c r="P45" s="27">
        <v>500</v>
      </c>
      <c r="Q45" s="27">
        <v>183</v>
      </c>
      <c r="R45" s="27">
        <v>1</v>
      </c>
      <c r="S45" s="27">
        <v>42</v>
      </c>
      <c r="T45" s="27">
        <v>24</v>
      </c>
      <c r="V45" s="27">
        <v>1</v>
      </c>
      <c r="W45" s="27">
        <v>6</v>
      </c>
      <c r="X45" s="27">
        <v>6</v>
      </c>
      <c r="Y45" s="27">
        <v>200</v>
      </c>
      <c r="Z45" s="27">
        <v>6</v>
      </c>
      <c r="AA45" s="27">
        <v>6</v>
      </c>
      <c r="AB45" s="27">
        <v>200</v>
      </c>
      <c r="AC45" s="27">
        <v>6</v>
      </c>
      <c r="AD45" s="27">
        <v>6</v>
      </c>
      <c r="AE45" s="27">
        <v>200</v>
      </c>
      <c r="AJ45" s="27">
        <f t="shared" si="0"/>
        <v>1124</v>
      </c>
      <c r="AK45" s="27">
        <v>1935</v>
      </c>
      <c r="AL45" s="27">
        <v>30</v>
      </c>
      <c r="AM45" s="27">
        <v>31</v>
      </c>
      <c r="AN45" s="27">
        <v>22</v>
      </c>
      <c r="AO45" s="27">
        <v>1</v>
      </c>
      <c r="AP45" s="27">
        <v>9</v>
      </c>
      <c r="AQ45" s="27">
        <v>0</v>
      </c>
      <c r="AR45" s="27">
        <v>0</v>
      </c>
      <c r="AU45" s="27">
        <v>0</v>
      </c>
      <c r="AV45" s="27">
        <v>6</v>
      </c>
      <c r="AW45" s="27">
        <v>0</v>
      </c>
      <c r="AX45" s="27">
        <v>12</v>
      </c>
      <c r="AY45" s="27">
        <v>5</v>
      </c>
      <c r="AZ45" s="27">
        <v>4</v>
      </c>
      <c r="BA45" s="27">
        <v>0</v>
      </c>
      <c r="BB45" s="27">
        <v>0</v>
      </c>
      <c r="BC45" s="27">
        <v>0</v>
      </c>
      <c r="BD45" s="27">
        <v>0</v>
      </c>
      <c r="BE45" s="27">
        <v>7</v>
      </c>
      <c r="BF45" s="27">
        <v>6</v>
      </c>
      <c r="BI45" s="27">
        <v>1</v>
      </c>
      <c r="BM45" s="27">
        <v>3</v>
      </c>
      <c r="BO45" s="27">
        <v>4</v>
      </c>
      <c r="BS45" s="27">
        <v>1</v>
      </c>
      <c r="BU45" s="27">
        <v>3</v>
      </c>
    </row>
    <row r="46" spans="1:86" ht="12.75" x14ac:dyDescent="0.2">
      <c r="D46" s="27" t="s">
        <v>1098</v>
      </c>
      <c r="E46" s="27">
        <v>2</v>
      </c>
      <c r="G46" s="27">
        <v>1795</v>
      </c>
      <c r="H46" s="27">
        <v>8975</v>
      </c>
      <c r="O46" s="27">
        <v>600</v>
      </c>
      <c r="P46" s="27">
        <v>600</v>
      </c>
      <c r="Q46" s="27">
        <v>102</v>
      </c>
      <c r="R46" s="27">
        <v>3</v>
      </c>
      <c r="S46" s="27">
        <v>28</v>
      </c>
      <c r="T46" s="27">
        <v>34</v>
      </c>
      <c r="V46" s="27">
        <v>2</v>
      </c>
      <c r="W46" s="27">
        <v>6</v>
      </c>
      <c r="X46" s="27">
        <v>6</v>
      </c>
      <c r="Y46" s="27">
        <v>200</v>
      </c>
      <c r="Z46" s="27">
        <v>6</v>
      </c>
      <c r="AA46" s="27">
        <v>6</v>
      </c>
      <c r="AB46" s="27">
        <v>200</v>
      </c>
      <c r="AC46" s="27">
        <v>6</v>
      </c>
      <c r="AD46" s="27">
        <v>6</v>
      </c>
      <c r="AE46" s="27">
        <v>200</v>
      </c>
      <c r="AJ46" s="27">
        <f t="shared" si="0"/>
        <v>1234</v>
      </c>
      <c r="AK46" s="27">
        <v>1630</v>
      </c>
      <c r="AL46" s="27">
        <v>18</v>
      </c>
      <c r="AM46" s="27">
        <v>30</v>
      </c>
      <c r="AN46" s="27">
        <v>30</v>
      </c>
      <c r="AO46" s="27">
        <v>0</v>
      </c>
      <c r="AP46" s="27">
        <v>1</v>
      </c>
      <c r="AQ46" s="27">
        <v>0</v>
      </c>
      <c r="AR46" s="27">
        <v>0</v>
      </c>
      <c r="AU46" s="27">
        <v>0</v>
      </c>
      <c r="AV46" s="27">
        <v>0</v>
      </c>
      <c r="AW46" s="27">
        <v>0</v>
      </c>
      <c r="AX46" s="27">
        <v>16</v>
      </c>
      <c r="AY46" s="27">
        <v>2</v>
      </c>
      <c r="AZ46" s="27">
        <v>3</v>
      </c>
      <c r="BA46" s="27">
        <v>0</v>
      </c>
      <c r="BB46" s="27">
        <v>0</v>
      </c>
      <c r="BC46" s="27">
        <v>0</v>
      </c>
      <c r="BD46" s="27">
        <v>0</v>
      </c>
      <c r="BE46" s="27">
        <v>1</v>
      </c>
      <c r="BF46" s="27">
        <v>23</v>
      </c>
      <c r="BI46" s="27">
        <v>0</v>
      </c>
      <c r="BM46" s="27">
        <v>10</v>
      </c>
      <c r="BO46" s="27">
        <v>0</v>
      </c>
    </row>
    <row r="47" spans="1:86" ht="12.75" x14ac:dyDescent="0.2">
      <c r="B47" s="27" t="s">
        <v>1131</v>
      </c>
      <c r="D47" s="27" t="s">
        <v>1132</v>
      </c>
      <c r="G47" s="27">
        <v>2010</v>
      </c>
      <c r="H47" s="27">
        <v>10050</v>
      </c>
      <c r="O47" s="27">
        <v>550</v>
      </c>
      <c r="P47" s="27">
        <v>500</v>
      </c>
      <c r="Q47" s="27">
        <v>213</v>
      </c>
      <c r="R47" s="27">
        <v>2</v>
      </c>
      <c r="S47" s="27">
        <v>41</v>
      </c>
      <c r="T47" s="27">
        <v>0</v>
      </c>
      <c r="V47" s="27">
        <v>0</v>
      </c>
      <c r="W47" s="27">
        <v>6</v>
      </c>
      <c r="X47" s="27">
        <v>6</v>
      </c>
      <c r="Y47" s="27">
        <v>200</v>
      </c>
      <c r="Z47" s="27">
        <v>6</v>
      </c>
      <c r="AA47" s="27">
        <v>6</v>
      </c>
      <c r="AB47" s="27">
        <v>200</v>
      </c>
      <c r="AC47" s="27">
        <v>6</v>
      </c>
      <c r="AD47" s="27">
        <v>6</v>
      </c>
      <c r="AE47" s="27">
        <v>200</v>
      </c>
      <c r="AJ47" s="27">
        <f t="shared" si="0"/>
        <v>1100</v>
      </c>
      <c r="AK47" s="27">
        <v>1790</v>
      </c>
      <c r="AL47" s="27">
        <v>62</v>
      </c>
      <c r="AM47" s="27">
        <v>34</v>
      </c>
      <c r="AN47" s="27">
        <v>23</v>
      </c>
      <c r="AO47" s="27">
        <v>1</v>
      </c>
      <c r="AP47" s="27">
        <v>5</v>
      </c>
      <c r="AQ47" s="27">
        <v>0</v>
      </c>
      <c r="AR47" s="27">
        <v>0</v>
      </c>
      <c r="AU47" s="27">
        <v>0</v>
      </c>
      <c r="AV47" s="27">
        <v>0</v>
      </c>
      <c r="AW47" s="27">
        <v>0</v>
      </c>
      <c r="AX47" s="27">
        <v>2</v>
      </c>
      <c r="AY47" s="27">
        <v>2</v>
      </c>
      <c r="AZ47" s="27">
        <v>6</v>
      </c>
      <c r="BA47" s="27">
        <v>0</v>
      </c>
      <c r="BB47" s="27">
        <v>0</v>
      </c>
      <c r="BC47" s="27">
        <v>0</v>
      </c>
      <c r="BD47" s="27">
        <v>6</v>
      </c>
      <c r="BE47" s="27">
        <v>5</v>
      </c>
      <c r="BF47" s="27">
        <v>36</v>
      </c>
      <c r="BM47" s="27">
        <v>4</v>
      </c>
      <c r="BO47" s="27">
        <v>2</v>
      </c>
      <c r="BQ47" s="27">
        <v>2</v>
      </c>
    </row>
    <row r="48" spans="1:86" ht="12.75" x14ac:dyDescent="0.2">
      <c r="D48" s="27" t="s">
        <v>1115</v>
      </c>
      <c r="G48" s="27">
        <v>1505</v>
      </c>
      <c r="H48" s="27">
        <v>7525</v>
      </c>
      <c r="O48" s="27">
        <v>600</v>
      </c>
      <c r="P48" s="27">
        <v>500</v>
      </c>
      <c r="Q48" s="27">
        <v>221</v>
      </c>
      <c r="R48" s="27">
        <v>1</v>
      </c>
      <c r="S48" s="27">
        <v>10</v>
      </c>
      <c r="T48" s="27">
        <v>22</v>
      </c>
      <c r="V48" s="27">
        <v>0</v>
      </c>
      <c r="W48" s="27">
        <v>6</v>
      </c>
      <c r="X48" s="27">
        <v>6</v>
      </c>
      <c r="Y48" s="27">
        <v>200</v>
      </c>
      <c r="Z48" s="27">
        <v>6</v>
      </c>
      <c r="AA48" s="27">
        <v>6</v>
      </c>
      <c r="AB48" s="27">
        <v>200</v>
      </c>
      <c r="AC48" s="27">
        <v>6</v>
      </c>
      <c r="AD48" s="27">
        <v>6</v>
      </c>
      <c r="AE48" s="27">
        <v>200</v>
      </c>
      <c r="AJ48" s="27">
        <f t="shared" si="0"/>
        <v>1122</v>
      </c>
      <c r="AK48" s="27">
        <v>1600</v>
      </c>
      <c r="AL48" s="27">
        <v>49</v>
      </c>
      <c r="AM48" s="27">
        <v>20</v>
      </c>
      <c r="AN48" s="27">
        <v>40</v>
      </c>
      <c r="AO48" s="27">
        <v>0</v>
      </c>
      <c r="AP48" s="27">
        <v>1</v>
      </c>
      <c r="AQ48" s="27">
        <v>0</v>
      </c>
      <c r="AR48" s="27" t="s">
        <v>1133</v>
      </c>
      <c r="AU48" s="27">
        <v>0</v>
      </c>
      <c r="AV48" s="27">
        <v>0</v>
      </c>
      <c r="AW48" s="27">
        <v>0</v>
      </c>
      <c r="AX48" s="27">
        <v>7</v>
      </c>
      <c r="AY48" s="27">
        <v>0</v>
      </c>
      <c r="AZ48" s="27">
        <v>0</v>
      </c>
      <c r="BA48" s="27">
        <v>0</v>
      </c>
      <c r="BB48" s="27">
        <v>0</v>
      </c>
      <c r="BC48" s="27">
        <v>1</v>
      </c>
      <c r="BD48" s="27">
        <v>2</v>
      </c>
      <c r="BE48" s="27">
        <v>0</v>
      </c>
      <c r="BF48" s="27">
        <v>19</v>
      </c>
      <c r="BM48" s="27">
        <v>0</v>
      </c>
      <c r="BO48" s="27">
        <v>0</v>
      </c>
    </row>
    <row r="49" spans="1:86" ht="94.5" x14ac:dyDescent="0.25">
      <c r="B49" s="27" t="s">
        <v>1134</v>
      </c>
      <c r="D49" s="27" t="s">
        <v>1112</v>
      </c>
      <c r="E49" s="27">
        <v>2</v>
      </c>
      <c r="G49" s="27">
        <v>1430</v>
      </c>
      <c r="H49" s="27">
        <v>7150</v>
      </c>
      <c r="O49" s="27">
        <v>550</v>
      </c>
      <c r="P49" s="27">
        <v>260</v>
      </c>
      <c r="Q49" s="27">
        <v>83</v>
      </c>
      <c r="R49" s="27">
        <v>2</v>
      </c>
      <c r="S49" s="27">
        <v>20</v>
      </c>
      <c r="T49" s="27">
        <v>18</v>
      </c>
      <c r="V49" s="27">
        <v>2</v>
      </c>
      <c r="W49" s="27">
        <v>6</v>
      </c>
      <c r="X49" s="27">
        <v>6</v>
      </c>
      <c r="Y49" s="27">
        <v>200</v>
      </c>
      <c r="Z49" s="27">
        <v>6</v>
      </c>
      <c r="AA49" s="27">
        <v>6</v>
      </c>
      <c r="AB49" s="27">
        <v>200</v>
      </c>
      <c r="AC49" s="27">
        <v>6</v>
      </c>
      <c r="AD49" s="27">
        <v>6</v>
      </c>
      <c r="AE49" s="27">
        <v>200</v>
      </c>
      <c r="AJ49" s="27">
        <f t="shared" si="0"/>
        <v>878</v>
      </c>
      <c r="AK49" s="27">
        <v>1105</v>
      </c>
      <c r="AL49" s="27">
        <v>237</v>
      </c>
      <c r="AM49" s="27">
        <v>23</v>
      </c>
      <c r="AN49" s="27">
        <v>14</v>
      </c>
      <c r="AO49" s="27">
        <v>0</v>
      </c>
      <c r="AP49" s="27">
        <v>0</v>
      </c>
      <c r="AQ49" s="27">
        <v>0</v>
      </c>
      <c r="AR49" s="27">
        <v>0</v>
      </c>
      <c r="AT49" s="27">
        <v>0</v>
      </c>
      <c r="AU49" s="27">
        <v>0</v>
      </c>
      <c r="AX49" s="27">
        <v>11</v>
      </c>
      <c r="AY49" s="27">
        <v>1</v>
      </c>
      <c r="AZ49" s="27">
        <v>1</v>
      </c>
      <c r="BA49" s="27">
        <v>0</v>
      </c>
      <c r="BB49" s="27">
        <v>0</v>
      </c>
      <c r="BC49" s="27">
        <v>1</v>
      </c>
      <c r="BD49" s="27">
        <v>19</v>
      </c>
      <c r="BE49" s="27">
        <v>0</v>
      </c>
      <c r="BF49" s="27">
        <v>12</v>
      </c>
      <c r="BI49" s="27">
        <v>1</v>
      </c>
      <c r="BL49" s="94"/>
      <c r="BM49" s="27">
        <v>7</v>
      </c>
      <c r="BO49" s="27">
        <v>2</v>
      </c>
      <c r="BS49" s="27">
        <v>2</v>
      </c>
      <c r="BY49" s="27">
        <v>11</v>
      </c>
      <c r="BZ49" s="36" t="s">
        <v>1135</v>
      </c>
      <c r="CC49" s="36" t="s">
        <v>1136</v>
      </c>
      <c r="CF49" s="96" t="s">
        <v>1137</v>
      </c>
      <c r="CG49" s="27">
        <v>450</v>
      </c>
      <c r="CH49" s="27">
        <v>19387</v>
      </c>
    </row>
    <row r="50" spans="1:86" ht="78.75" x14ac:dyDescent="0.25">
      <c r="D50" s="27" t="s">
        <v>1115</v>
      </c>
      <c r="E50" s="27">
        <v>2</v>
      </c>
      <c r="G50" s="27">
        <v>2015</v>
      </c>
      <c r="H50" s="27">
        <v>10075</v>
      </c>
      <c r="O50" s="27">
        <v>600</v>
      </c>
      <c r="P50" s="27">
        <v>420</v>
      </c>
      <c r="Q50" s="27">
        <v>69</v>
      </c>
      <c r="R50" s="27">
        <v>0</v>
      </c>
      <c r="S50" s="27">
        <v>4</v>
      </c>
      <c r="T50" s="27">
        <v>33</v>
      </c>
      <c r="V50" s="27">
        <v>0</v>
      </c>
      <c r="W50" s="27">
        <v>6</v>
      </c>
      <c r="X50" s="27">
        <v>6</v>
      </c>
      <c r="Y50" s="27">
        <v>200</v>
      </c>
      <c r="Z50" s="27">
        <v>6</v>
      </c>
      <c r="AA50" s="27">
        <v>6</v>
      </c>
      <c r="AB50" s="27">
        <v>200</v>
      </c>
      <c r="AC50" s="27">
        <v>6</v>
      </c>
      <c r="AD50" s="27">
        <v>6</v>
      </c>
      <c r="AE50" s="27">
        <v>200</v>
      </c>
      <c r="AJ50" s="27">
        <f t="shared" si="0"/>
        <v>1053</v>
      </c>
      <c r="AK50" s="27">
        <v>1375</v>
      </c>
      <c r="AL50" s="27">
        <v>244</v>
      </c>
      <c r="AM50" s="27">
        <v>19</v>
      </c>
      <c r="AN50" s="27">
        <v>41</v>
      </c>
      <c r="AO50" s="27">
        <v>1</v>
      </c>
      <c r="AP50" s="27">
        <v>2</v>
      </c>
      <c r="AQ50" s="27">
        <v>0</v>
      </c>
      <c r="AX50" s="27">
        <v>6</v>
      </c>
      <c r="AY50" s="27">
        <v>0</v>
      </c>
      <c r="AZ50" s="27">
        <v>2</v>
      </c>
      <c r="BA50" s="27">
        <v>0</v>
      </c>
      <c r="BB50" s="27">
        <v>0</v>
      </c>
      <c r="BC50" s="27">
        <v>1</v>
      </c>
      <c r="BD50" s="27">
        <v>6</v>
      </c>
      <c r="BE50" s="27">
        <v>2</v>
      </c>
      <c r="BF50" s="27">
        <v>11</v>
      </c>
      <c r="BM50" s="27">
        <v>0</v>
      </c>
      <c r="BO50" s="27">
        <v>0</v>
      </c>
      <c r="BY50" s="27">
        <v>12</v>
      </c>
      <c r="BZ50" s="36" t="s">
        <v>1138</v>
      </c>
      <c r="CC50" s="36" t="s">
        <v>1136</v>
      </c>
      <c r="CF50" s="96" t="s">
        <v>1139</v>
      </c>
      <c r="CG50" s="27">
        <v>650</v>
      </c>
      <c r="CH50" s="27">
        <v>6471</v>
      </c>
    </row>
    <row r="51" spans="1:86" ht="12.75" x14ac:dyDescent="0.2">
      <c r="B51" s="94" t="s">
        <v>1140</v>
      </c>
      <c r="E51" s="27">
        <v>2</v>
      </c>
      <c r="G51" s="27">
        <v>10690</v>
      </c>
      <c r="H51" s="27">
        <v>53450</v>
      </c>
      <c r="O51" s="27">
        <v>3500</v>
      </c>
      <c r="P51" s="27">
        <v>2780</v>
      </c>
      <c r="Q51" s="27">
        <v>871</v>
      </c>
      <c r="R51" s="27">
        <v>9</v>
      </c>
      <c r="S51" s="27">
        <v>145</v>
      </c>
      <c r="T51" s="27">
        <v>131</v>
      </c>
      <c r="V51" s="27">
        <v>5</v>
      </c>
      <c r="W51" s="27">
        <v>36</v>
      </c>
      <c r="X51" s="27">
        <v>36</v>
      </c>
      <c r="Y51" s="27">
        <v>1200</v>
      </c>
      <c r="Z51" s="27">
        <v>36</v>
      </c>
      <c r="AA51" s="27">
        <v>36</v>
      </c>
      <c r="AB51" s="27">
        <v>1200</v>
      </c>
      <c r="AC51" s="27">
        <v>36</v>
      </c>
      <c r="AD51" s="27">
        <v>36</v>
      </c>
      <c r="AE51" s="27">
        <v>1200</v>
      </c>
      <c r="AJ51" s="27">
        <f t="shared" si="0"/>
        <v>6511</v>
      </c>
      <c r="AK51" s="27">
        <v>8197</v>
      </c>
      <c r="AL51" s="27">
        <v>640</v>
      </c>
      <c r="AM51" s="27">
        <v>157</v>
      </c>
      <c r="AN51" s="27">
        <v>170</v>
      </c>
      <c r="AO51" s="27">
        <v>3</v>
      </c>
      <c r="AP51" s="27">
        <v>18</v>
      </c>
      <c r="AQ51" s="27">
        <v>0</v>
      </c>
      <c r="AR51" s="27" t="s">
        <v>1141</v>
      </c>
      <c r="AV51" s="27">
        <v>6</v>
      </c>
      <c r="AX51" s="27">
        <v>54</v>
      </c>
      <c r="AY51" s="27">
        <v>10</v>
      </c>
      <c r="AZ51" s="27">
        <v>16</v>
      </c>
      <c r="BA51" s="27">
        <v>0</v>
      </c>
      <c r="BC51" s="27">
        <v>3</v>
      </c>
      <c r="BD51" s="27">
        <v>33</v>
      </c>
      <c r="BE51" s="27">
        <v>15</v>
      </c>
      <c r="BF51" s="27">
        <v>107</v>
      </c>
      <c r="BI51" s="27">
        <v>1</v>
      </c>
      <c r="BM51" s="27">
        <v>24</v>
      </c>
      <c r="BO51" s="27">
        <v>8</v>
      </c>
      <c r="BS51" s="27">
        <v>2</v>
      </c>
    </row>
    <row r="52" spans="1:86" ht="12.75" x14ac:dyDescent="0.2">
      <c r="A52" s="94"/>
      <c r="B52" s="94" t="s">
        <v>1142</v>
      </c>
      <c r="C52" s="94"/>
      <c r="D52" s="94"/>
      <c r="E52" s="94">
        <v>2</v>
      </c>
      <c r="F52" s="94"/>
      <c r="G52" s="94">
        <v>26422</v>
      </c>
      <c r="H52" s="94">
        <v>106015</v>
      </c>
      <c r="I52" s="94"/>
      <c r="J52" s="94"/>
      <c r="K52" s="94"/>
      <c r="L52" s="94"/>
      <c r="M52" s="94"/>
      <c r="N52" s="94"/>
      <c r="O52" s="94">
        <v>10750</v>
      </c>
      <c r="P52" s="94">
        <v>9421</v>
      </c>
      <c r="Q52" s="94">
        <v>2714</v>
      </c>
      <c r="R52" s="94">
        <v>62</v>
      </c>
      <c r="S52" s="94">
        <v>617</v>
      </c>
      <c r="T52" s="94">
        <v>506</v>
      </c>
      <c r="U52" s="94"/>
      <c r="V52" s="94">
        <v>41</v>
      </c>
      <c r="W52" s="94">
        <v>88</v>
      </c>
      <c r="X52" s="94">
        <v>88</v>
      </c>
      <c r="Y52" s="94">
        <v>3600</v>
      </c>
      <c r="Z52" s="94">
        <v>88</v>
      </c>
      <c r="AA52" s="94">
        <v>88</v>
      </c>
      <c r="AB52" s="94">
        <v>3600</v>
      </c>
      <c r="AC52" s="94">
        <v>88</v>
      </c>
      <c r="AD52" s="94">
        <v>88</v>
      </c>
      <c r="AE52" s="94">
        <v>3600</v>
      </c>
      <c r="AF52" s="94"/>
      <c r="AG52" s="94"/>
      <c r="AH52" s="94"/>
      <c r="AI52" s="94"/>
      <c r="AJ52" s="94">
        <f t="shared" si="0"/>
        <v>20727</v>
      </c>
      <c r="AK52" s="94">
        <v>24663</v>
      </c>
      <c r="AL52" s="94">
        <v>849</v>
      </c>
      <c r="AM52" s="94">
        <v>313</v>
      </c>
      <c r="AN52" s="94">
        <v>326</v>
      </c>
      <c r="AO52" s="94">
        <v>3</v>
      </c>
      <c r="AP52" s="94">
        <v>43</v>
      </c>
      <c r="AQ52" s="94">
        <v>1</v>
      </c>
      <c r="AR52" s="94" t="s">
        <v>1143</v>
      </c>
      <c r="AS52" s="94"/>
      <c r="AT52" s="94">
        <f>SUM(AL52:AQ52)</f>
        <v>1535</v>
      </c>
      <c r="AU52" s="94"/>
      <c r="AV52" s="94">
        <v>6</v>
      </c>
      <c r="AW52" s="94"/>
      <c r="AX52" s="94">
        <v>139</v>
      </c>
      <c r="AY52" s="94">
        <v>21</v>
      </c>
      <c r="AZ52" s="94">
        <v>43</v>
      </c>
      <c r="BA52" s="94">
        <v>0</v>
      </c>
      <c r="BB52" s="94">
        <v>1</v>
      </c>
      <c r="BC52" s="94">
        <v>15</v>
      </c>
      <c r="BD52" s="94">
        <v>108</v>
      </c>
      <c r="BE52" s="94">
        <v>45</v>
      </c>
      <c r="BF52" s="94">
        <v>517</v>
      </c>
      <c r="BG52" s="94">
        <v>0</v>
      </c>
      <c r="BH52" s="94"/>
      <c r="BI52" s="94">
        <v>1</v>
      </c>
      <c r="BJ52" s="94"/>
      <c r="BK52" s="94"/>
      <c r="BL52" s="94">
        <f>SUM(AU52:BJ52)</f>
        <v>896</v>
      </c>
      <c r="BM52" s="94">
        <v>63</v>
      </c>
      <c r="BN52" s="94"/>
      <c r="BO52" s="94">
        <v>28</v>
      </c>
      <c r="BP52" s="94"/>
      <c r="BQ52" s="94"/>
      <c r="BR52" s="94"/>
      <c r="BS52" s="94"/>
      <c r="BT52" s="94"/>
      <c r="BU52" s="94"/>
      <c r="BV52" s="94"/>
      <c r="BW52" s="94"/>
      <c r="BX52" s="94"/>
      <c r="BY52" s="94"/>
      <c r="BZ52" s="94"/>
      <c r="CA52" s="94"/>
      <c r="CB52" s="94"/>
      <c r="CC52" s="94"/>
      <c r="CD52" s="94"/>
      <c r="CE52" s="94"/>
      <c r="CF52" s="94"/>
      <c r="CG52" s="94"/>
      <c r="CH52" s="94"/>
    </row>
    <row r="53" spans="1:86" ht="12.75" x14ac:dyDescent="0.2">
      <c r="AJ53" s="27">
        <f t="shared" si="0"/>
        <v>0</v>
      </c>
    </row>
    <row r="54" spans="1:86" ht="12.75" x14ac:dyDescent="0.2">
      <c r="B54" s="27" t="s">
        <v>402</v>
      </c>
      <c r="AJ54" s="27">
        <f t="shared" si="0"/>
        <v>0</v>
      </c>
    </row>
    <row r="55" spans="1:86" ht="12.75" x14ac:dyDescent="0.2">
      <c r="B55" s="116" t="s">
        <v>1111</v>
      </c>
      <c r="D55" s="27" t="s">
        <v>1112</v>
      </c>
      <c r="E55" s="27">
        <v>2</v>
      </c>
      <c r="G55" s="27">
        <v>130</v>
      </c>
      <c r="H55" s="27">
        <v>650</v>
      </c>
      <c r="V55" s="27">
        <v>0</v>
      </c>
      <c r="AJ55" s="27">
        <f t="shared" si="0"/>
        <v>0</v>
      </c>
    </row>
    <row r="56" spans="1:86" ht="12.75" x14ac:dyDescent="0.2">
      <c r="B56" s="117"/>
      <c r="D56" s="27" t="s">
        <v>1098</v>
      </c>
      <c r="E56" s="27">
        <v>2</v>
      </c>
      <c r="G56" s="27">
        <v>123</v>
      </c>
      <c r="H56" s="27">
        <v>615</v>
      </c>
      <c r="V56" s="27">
        <v>0</v>
      </c>
      <c r="AJ56" s="27">
        <f t="shared" si="0"/>
        <v>0</v>
      </c>
      <c r="AT56" s="27">
        <f>SUM(AL55:AR56)</f>
        <v>0</v>
      </c>
      <c r="BL56" s="94">
        <f>SUM(AU55:BJ56)</f>
        <v>0</v>
      </c>
    </row>
    <row r="57" spans="1:86" ht="12.75" x14ac:dyDescent="0.2">
      <c r="B57" s="116" t="s">
        <v>1114</v>
      </c>
      <c r="D57" s="27" t="s">
        <v>1112</v>
      </c>
      <c r="E57" s="27">
        <v>2</v>
      </c>
      <c r="G57" s="27">
        <v>1887</v>
      </c>
      <c r="H57" s="27">
        <v>9435</v>
      </c>
      <c r="O57" s="27">
        <v>650</v>
      </c>
      <c r="P57" s="27">
        <v>655</v>
      </c>
      <c r="Q57" s="27">
        <v>235</v>
      </c>
      <c r="R57" s="27">
        <v>10</v>
      </c>
      <c r="S57" s="27">
        <v>77</v>
      </c>
      <c r="T57" s="27">
        <v>22</v>
      </c>
      <c r="V57" s="27">
        <v>3</v>
      </c>
      <c r="X57" s="27">
        <v>6</v>
      </c>
      <c r="Y57" s="27">
        <v>210</v>
      </c>
      <c r="Z57" s="27">
        <v>6</v>
      </c>
      <c r="AA57" s="27">
        <v>6</v>
      </c>
      <c r="AB57" s="27">
        <v>110</v>
      </c>
      <c r="AC57" s="27">
        <v>6</v>
      </c>
      <c r="AD57" s="27">
        <v>6</v>
      </c>
      <c r="AE57" s="27">
        <v>205</v>
      </c>
      <c r="AF57" s="27">
        <v>1</v>
      </c>
      <c r="AG57" s="27">
        <v>50</v>
      </c>
      <c r="AJ57" s="27">
        <f t="shared" si="0"/>
        <v>1252</v>
      </c>
      <c r="AK57" s="27">
        <v>1887</v>
      </c>
      <c r="AL57" s="27">
        <v>1</v>
      </c>
      <c r="AM57" s="27">
        <v>3</v>
      </c>
      <c r="AN57" s="27">
        <v>1</v>
      </c>
      <c r="AO57" s="27">
        <v>0</v>
      </c>
      <c r="AP57" s="27">
        <v>1</v>
      </c>
      <c r="AU57" s="27">
        <v>0</v>
      </c>
      <c r="AV57" s="27">
        <v>0</v>
      </c>
      <c r="AW57" s="27">
        <v>0</v>
      </c>
      <c r="AX57" s="27">
        <v>0</v>
      </c>
      <c r="AY57" s="27">
        <v>6</v>
      </c>
      <c r="AZ57" s="27">
        <v>10</v>
      </c>
      <c r="BA57" s="27">
        <v>0</v>
      </c>
      <c r="BB57" s="27">
        <v>0</v>
      </c>
      <c r="BC57" s="27">
        <v>0</v>
      </c>
      <c r="BD57" s="27">
        <v>26</v>
      </c>
      <c r="BE57" s="27">
        <v>0</v>
      </c>
      <c r="BI57" s="27">
        <v>0</v>
      </c>
      <c r="BM57" s="27">
        <v>1</v>
      </c>
      <c r="BO57" s="27">
        <v>2</v>
      </c>
      <c r="BR57" s="27">
        <v>2</v>
      </c>
    </row>
    <row r="58" spans="1:86" ht="12.75" x14ac:dyDescent="0.2">
      <c r="B58" s="117"/>
      <c r="D58" s="27" t="s">
        <v>1098</v>
      </c>
      <c r="E58" s="27">
        <v>2</v>
      </c>
      <c r="G58" s="27">
        <v>2574</v>
      </c>
      <c r="H58" s="27">
        <v>12870</v>
      </c>
      <c r="O58" s="27">
        <v>650</v>
      </c>
      <c r="P58" s="27">
        <v>650</v>
      </c>
      <c r="Q58" s="27">
        <v>146</v>
      </c>
      <c r="R58" s="27">
        <v>7</v>
      </c>
      <c r="S58" s="27">
        <v>26</v>
      </c>
      <c r="T58" s="27">
        <v>18</v>
      </c>
      <c r="V58" s="27">
        <v>4</v>
      </c>
      <c r="X58" s="27">
        <v>6</v>
      </c>
      <c r="Y58" s="27">
        <v>205</v>
      </c>
      <c r="Z58" s="27">
        <v>6</v>
      </c>
      <c r="AA58" s="27">
        <v>6</v>
      </c>
      <c r="AB58" s="27">
        <v>100</v>
      </c>
      <c r="AC58" s="27">
        <v>6</v>
      </c>
      <c r="AD58" s="27">
        <v>6</v>
      </c>
      <c r="AE58" s="27">
        <v>213</v>
      </c>
      <c r="AF58" s="27">
        <v>1</v>
      </c>
      <c r="AG58" s="27">
        <v>50</v>
      </c>
      <c r="AJ58" s="27">
        <f t="shared" si="0"/>
        <v>1236</v>
      </c>
      <c r="AK58" s="27">
        <v>2574</v>
      </c>
      <c r="AL58" s="27">
        <v>1</v>
      </c>
      <c r="AM58" s="27">
        <v>18</v>
      </c>
      <c r="AN58" s="27">
        <v>7</v>
      </c>
      <c r="AO58" s="27">
        <v>0</v>
      </c>
      <c r="AP58" s="27">
        <v>1</v>
      </c>
      <c r="AT58" s="27">
        <f>SUM(AL57:AR58)</f>
        <v>33</v>
      </c>
      <c r="AU58" s="27">
        <v>0</v>
      </c>
      <c r="AV58" s="27">
        <v>0</v>
      </c>
      <c r="AW58" s="27">
        <v>0</v>
      </c>
      <c r="AX58" s="27">
        <v>0</v>
      </c>
      <c r="AY58" s="27">
        <v>0</v>
      </c>
      <c r="AZ58" s="27">
        <v>0</v>
      </c>
      <c r="BA58" s="27">
        <v>0</v>
      </c>
      <c r="BB58" s="27">
        <v>0</v>
      </c>
      <c r="BC58" s="27">
        <v>0</v>
      </c>
      <c r="BD58" s="27">
        <v>0</v>
      </c>
      <c r="BE58" s="27">
        <v>0</v>
      </c>
      <c r="BI58" s="27">
        <v>0</v>
      </c>
      <c r="BL58" s="94">
        <f>SUM(AU57:BJ58)</f>
        <v>42</v>
      </c>
      <c r="BM58" s="27">
        <v>2</v>
      </c>
      <c r="BO58" s="27">
        <v>0</v>
      </c>
      <c r="BR58" s="27">
        <v>0</v>
      </c>
    </row>
    <row r="59" spans="1:86" ht="12.75" x14ac:dyDescent="0.2">
      <c r="B59" s="116" t="s">
        <v>1144</v>
      </c>
      <c r="D59" s="27" t="s">
        <v>1112</v>
      </c>
      <c r="E59" s="27">
        <v>2</v>
      </c>
      <c r="G59" s="27">
        <v>1658</v>
      </c>
      <c r="H59" s="27">
        <v>8290</v>
      </c>
      <c r="O59" s="27">
        <v>650</v>
      </c>
      <c r="P59" s="27">
        <v>650</v>
      </c>
      <c r="Q59" s="27">
        <v>293</v>
      </c>
      <c r="R59" s="27">
        <v>3</v>
      </c>
      <c r="S59" s="27">
        <v>52</v>
      </c>
      <c r="T59" s="27">
        <v>38</v>
      </c>
      <c r="V59" s="27">
        <v>2</v>
      </c>
      <c r="X59" s="27">
        <v>6</v>
      </c>
      <c r="Y59" s="27">
        <v>216</v>
      </c>
      <c r="Z59" s="27">
        <v>6</v>
      </c>
      <c r="AA59" s="27">
        <v>6</v>
      </c>
      <c r="AB59" s="27">
        <v>116</v>
      </c>
      <c r="AC59" s="27">
        <v>6</v>
      </c>
      <c r="AD59" s="27">
        <v>6</v>
      </c>
      <c r="AE59" s="27">
        <v>220</v>
      </c>
      <c r="AJ59" s="27">
        <f t="shared" si="0"/>
        <v>1240</v>
      </c>
      <c r="AK59" s="27">
        <v>1810</v>
      </c>
      <c r="AL59" s="27">
        <v>0</v>
      </c>
      <c r="AN59" s="27">
        <v>0</v>
      </c>
      <c r="AO59" s="27">
        <v>0</v>
      </c>
      <c r="AP59" s="27">
        <v>0</v>
      </c>
      <c r="AQ59" s="27">
        <v>0</v>
      </c>
      <c r="AR59" s="27">
        <v>0</v>
      </c>
      <c r="AU59" s="27">
        <v>0</v>
      </c>
      <c r="AV59" s="27">
        <v>0</v>
      </c>
      <c r="AW59" s="27">
        <v>0</v>
      </c>
      <c r="AX59" s="27">
        <v>0</v>
      </c>
      <c r="AY59" s="27">
        <v>0</v>
      </c>
      <c r="AZ59" s="27">
        <v>0</v>
      </c>
      <c r="BA59" s="27">
        <v>0</v>
      </c>
      <c r="BB59" s="27">
        <v>0</v>
      </c>
      <c r="BC59" s="27">
        <v>0</v>
      </c>
      <c r="BD59" s="27">
        <v>0</v>
      </c>
      <c r="BE59" s="27">
        <v>0</v>
      </c>
      <c r="BF59" s="27">
        <v>0</v>
      </c>
      <c r="BM59" s="27">
        <v>0</v>
      </c>
      <c r="BO59" s="27">
        <v>3</v>
      </c>
      <c r="BQ59" s="27">
        <v>1</v>
      </c>
      <c r="BS59" s="27">
        <v>2</v>
      </c>
    </row>
    <row r="60" spans="1:86" ht="12.75" x14ac:dyDescent="0.2">
      <c r="A60" s="27">
        <v>1</v>
      </c>
      <c r="B60" s="117"/>
      <c r="D60" s="27" t="s">
        <v>1098</v>
      </c>
      <c r="E60" s="27">
        <v>2</v>
      </c>
      <c r="G60" s="27">
        <v>2121</v>
      </c>
      <c r="H60" s="27">
        <v>10605</v>
      </c>
      <c r="O60" s="27">
        <v>650</v>
      </c>
      <c r="P60" s="27">
        <v>650</v>
      </c>
      <c r="Q60" s="27">
        <v>144</v>
      </c>
      <c r="R60" s="27">
        <v>0</v>
      </c>
      <c r="S60" s="27">
        <v>29</v>
      </c>
      <c r="T60" s="27">
        <v>19</v>
      </c>
      <c r="V60" s="27">
        <v>1</v>
      </c>
      <c r="X60" s="27">
        <v>6</v>
      </c>
      <c r="Y60" s="27">
        <v>218</v>
      </c>
      <c r="Z60" s="27">
        <v>6</v>
      </c>
      <c r="AA60" s="27">
        <v>6</v>
      </c>
      <c r="AB60" s="27">
        <v>126</v>
      </c>
      <c r="AC60" s="27">
        <v>6</v>
      </c>
      <c r="AD60" s="27">
        <v>6</v>
      </c>
      <c r="AE60" s="27">
        <v>205</v>
      </c>
      <c r="AJ60" s="27">
        <f t="shared" si="0"/>
        <v>1218</v>
      </c>
      <c r="AK60" s="27">
        <v>1970</v>
      </c>
      <c r="AL60" s="27">
        <v>0</v>
      </c>
      <c r="AM60" s="27">
        <v>0</v>
      </c>
      <c r="AN60" s="27">
        <v>0</v>
      </c>
      <c r="AO60" s="27">
        <v>0</v>
      </c>
      <c r="AP60" s="27">
        <v>0</v>
      </c>
      <c r="AQ60" s="27">
        <v>0</v>
      </c>
      <c r="AR60" s="27">
        <v>0</v>
      </c>
      <c r="AT60" s="27">
        <f>SUM(AL59:AR60)</f>
        <v>0</v>
      </c>
      <c r="AU60" s="27">
        <v>0</v>
      </c>
      <c r="AV60" s="27">
        <v>0</v>
      </c>
      <c r="AW60" s="27">
        <v>0</v>
      </c>
      <c r="AX60" s="27">
        <v>0</v>
      </c>
      <c r="AY60" s="27">
        <v>0</v>
      </c>
      <c r="AZ60" s="27">
        <v>0</v>
      </c>
      <c r="BA60" s="27">
        <v>0</v>
      </c>
      <c r="BB60" s="27">
        <v>0</v>
      </c>
      <c r="BC60" s="27">
        <v>0</v>
      </c>
      <c r="BD60" s="27">
        <v>0</v>
      </c>
      <c r="BE60" s="27">
        <v>0</v>
      </c>
      <c r="BF60" s="27">
        <v>0</v>
      </c>
      <c r="BL60" s="94">
        <f>SUM(AU59:BJ60)</f>
        <v>0</v>
      </c>
      <c r="BM60" s="27">
        <v>0</v>
      </c>
      <c r="BO60" s="27">
        <v>0</v>
      </c>
    </row>
    <row r="61" spans="1:86" ht="12.75" x14ac:dyDescent="0.2">
      <c r="A61" s="94"/>
      <c r="B61" s="94" t="s">
        <v>1145</v>
      </c>
      <c r="C61" s="118"/>
      <c r="D61" s="117"/>
      <c r="E61" s="94">
        <v>2</v>
      </c>
      <c r="F61" s="94"/>
      <c r="G61" s="94">
        <v>8493</v>
      </c>
      <c r="H61" s="94">
        <v>42465</v>
      </c>
      <c r="I61" s="94"/>
      <c r="J61" s="94"/>
      <c r="K61" s="94"/>
      <c r="L61" s="94"/>
      <c r="M61" s="94"/>
      <c r="N61" s="94"/>
      <c r="O61" s="94">
        <v>2600</v>
      </c>
      <c r="P61" s="94">
        <v>2605</v>
      </c>
      <c r="Q61" s="94">
        <v>818</v>
      </c>
      <c r="R61" s="94">
        <v>20</v>
      </c>
      <c r="S61" s="94">
        <v>184</v>
      </c>
      <c r="T61" s="94">
        <v>97</v>
      </c>
      <c r="U61" s="94"/>
      <c r="V61" s="94">
        <v>9</v>
      </c>
      <c r="W61" s="94"/>
      <c r="X61" s="94">
        <v>24</v>
      </c>
      <c r="Y61" s="94">
        <v>849</v>
      </c>
      <c r="Z61" s="94">
        <v>24</v>
      </c>
      <c r="AA61" s="94">
        <v>24</v>
      </c>
      <c r="AB61" s="94">
        <v>452</v>
      </c>
      <c r="AC61" s="94">
        <v>24</v>
      </c>
      <c r="AD61" s="94">
        <v>24</v>
      </c>
      <c r="AE61" s="94">
        <v>843</v>
      </c>
      <c r="AF61" s="94">
        <v>1</v>
      </c>
      <c r="AG61" s="94">
        <v>100</v>
      </c>
      <c r="AH61" s="94"/>
      <c r="AI61" s="94"/>
      <c r="AJ61" s="94">
        <f t="shared" si="0"/>
        <v>4946</v>
      </c>
      <c r="AK61" s="94">
        <v>8241</v>
      </c>
      <c r="AL61" s="94">
        <v>2</v>
      </c>
      <c r="AM61" s="94">
        <v>21</v>
      </c>
      <c r="AN61" s="94">
        <v>8</v>
      </c>
      <c r="AO61" s="94">
        <v>3</v>
      </c>
      <c r="AP61" s="94">
        <v>2</v>
      </c>
      <c r="AR61" s="94">
        <v>0</v>
      </c>
      <c r="AS61" s="94"/>
      <c r="AT61" s="94">
        <f>SUM(AT56,AT58,AT60)</f>
        <v>33</v>
      </c>
      <c r="AU61" s="94">
        <v>0</v>
      </c>
      <c r="AV61" s="94">
        <v>0</v>
      </c>
      <c r="AW61" s="94">
        <v>0</v>
      </c>
      <c r="AX61" s="94">
        <v>0</v>
      </c>
      <c r="AY61" s="94">
        <v>6</v>
      </c>
      <c r="AZ61" s="94">
        <v>10</v>
      </c>
      <c r="BA61" s="94">
        <v>0</v>
      </c>
      <c r="BB61" s="94">
        <v>0</v>
      </c>
      <c r="BC61" s="94">
        <v>0</v>
      </c>
      <c r="BD61" s="94">
        <v>26</v>
      </c>
      <c r="BE61" s="94">
        <v>0</v>
      </c>
      <c r="BF61" s="94">
        <v>0</v>
      </c>
      <c r="BG61" s="94">
        <v>0</v>
      </c>
      <c r="BH61" s="94"/>
      <c r="BI61" s="94">
        <v>0</v>
      </c>
      <c r="BJ61" s="94"/>
      <c r="BK61" s="94"/>
      <c r="BL61" s="94">
        <f>SUM(BL56,BL58,BL60)</f>
        <v>42</v>
      </c>
      <c r="BM61" s="94">
        <v>3</v>
      </c>
      <c r="BN61" s="94"/>
      <c r="BO61" s="94">
        <v>5</v>
      </c>
      <c r="BP61" s="94"/>
      <c r="BQ61" s="94"/>
      <c r="BR61" s="94"/>
      <c r="BS61" s="94"/>
      <c r="BT61" s="94"/>
      <c r="BU61" s="94"/>
      <c r="BV61" s="94"/>
      <c r="BW61" s="94"/>
      <c r="BX61" s="94"/>
      <c r="BY61" s="94"/>
      <c r="BZ61" s="94"/>
      <c r="CA61" s="94"/>
      <c r="CB61" s="94"/>
      <c r="CC61" s="94"/>
      <c r="CD61" s="94"/>
      <c r="CE61" s="94"/>
      <c r="CF61" s="94"/>
      <c r="CG61" s="94"/>
      <c r="CH61" s="94"/>
    </row>
    <row r="62" spans="1:86" ht="12.75" x14ac:dyDescent="0.2">
      <c r="A62" s="92"/>
      <c r="B62" s="92" t="s">
        <v>1146</v>
      </c>
      <c r="C62" s="117"/>
      <c r="D62" s="117"/>
      <c r="E62" s="92">
        <v>2</v>
      </c>
      <c r="F62" s="92"/>
      <c r="G62" s="92">
        <v>34915</v>
      </c>
      <c r="H62" s="92">
        <v>148480</v>
      </c>
      <c r="I62" s="92"/>
      <c r="J62" s="92"/>
      <c r="K62" s="92"/>
      <c r="L62" s="92"/>
      <c r="M62" s="92"/>
      <c r="N62" s="92"/>
      <c r="O62" s="92">
        <v>13350</v>
      </c>
      <c r="P62" s="92">
        <v>12026</v>
      </c>
      <c r="Q62" s="92">
        <v>3532</v>
      </c>
      <c r="R62" s="92">
        <v>82</v>
      </c>
      <c r="S62" s="92">
        <v>801</v>
      </c>
      <c r="T62" s="92">
        <v>603</v>
      </c>
      <c r="U62" s="92"/>
      <c r="V62" s="92">
        <v>50</v>
      </c>
      <c r="W62" s="92"/>
      <c r="X62" s="92">
        <v>112</v>
      </c>
      <c r="Y62" s="92">
        <v>4449</v>
      </c>
      <c r="Z62" s="92">
        <v>112</v>
      </c>
      <c r="AA62" s="92">
        <v>112</v>
      </c>
      <c r="AB62" s="92">
        <v>4052</v>
      </c>
      <c r="AC62" s="92">
        <v>112</v>
      </c>
      <c r="AD62" s="92">
        <v>112</v>
      </c>
      <c r="AE62" s="92">
        <v>4443</v>
      </c>
      <c r="AF62" s="92">
        <v>1</v>
      </c>
      <c r="AG62" s="92">
        <v>100</v>
      </c>
      <c r="AH62" s="92"/>
      <c r="AI62" s="92"/>
      <c r="AJ62" s="92">
        <f t="shared" si="0"/>
        <v>25673</v>
      </c>
      <c r="AK62" s="92">
        <v>32904</v>
      </c>
      <c r="AL62" s="92">
        <v>851</v>
      </c>
      <c r="AM62" s="92">
        <v>334</v>
      </c>
      <c r="AN62" s="92">
        <v>334</v>
      </c>
      <c r="AO62" s="92">
        <v>3</v>
      </c>
      <c r="AP62" s="92">
        <v>45</v>
      </c>
      <c r="AQ62" s="92">
        <v>1</v>
      </c>
      <c r="AR62" s="92" t="s">
        <v>1147</v>
      </c>
      <c r="AS62" s="92"/>
      <c r="AT62" s="92">
        <f>SUM(AT61,AT52)</f>
        <v>1568</v>
      </c>
      <c r="AU62" s="92">
        <v>0</v>
      </c>
      <c r="AV62" s="92">
        <v>6</v>
      </c>
      <c r="AW62" s="92">
        <v>0</v>
      </c>
      <c r="AX62" s="92">
        <v>139</v>
      </c>
      <c r="AY62" s="92">
        <v>27</v>
      </c>
      <c r="AZ62" s="92">
        <v>53</v>
      </c>
      <c r="BA62" s="92">
        <v>0</v>
      </c>
      <c r="BB62" s="92">
        <v>1</v>
      </c>
      <c r="BC62" s="92">
        <v>15</v>
      </c>
      <c r="BD62" s="92">
        <v>134</v>
      </c>
      <c r="BE62" s="92">
        <v>45</v>
      </c>
      <c r="BF62" s="92">
        <v>517</v>
      </c>
      <c r="BG62" s="92">
        <v>0</v>
      </c>
      <c r="BH62" s="92"/>
      <c r="BI62" s="92">
        <v>1</v>
      </c>
      <c r="BJ62" s="92"/>
      <c r="BK62" s="92"/>
      <c r="BL62" s="92">
        <f>SUM(BL61,BL52)</f>
        <v>938</v>
      </c>
      <c r="BM62" s="92">
        <v>66</v>
      </c>
      <c r="BN62" s="92"/>
      <c r="BO62" s="92">
        <v>33</v>
      </c>
      <c r="BP62" s="92"/>
      <c r="BQ62" s="92"/>
      <c r="BR62" s="92"/>
      <c r="BS62" s="92"/>
      <c r="BT62" s="92"/>
      <c r="BU62" s="92"/>
      <c r="BV62" s="92"/>
      <c r="BW62" s="92"/>
      <c r="BX62" s="92"/>
      <c r="BY62" s="92"/>
      <c r="BZ62" s="92"/>
      <c r="CA62" s="92"/>
      <c r="CB62" s="92"/>
      <c r="CC62" s="92"/>
      <c r="CD62" s="92"/>
      <c r="CE62" s="92"/>
      <c r="CF62" s="92"/>
      <c r="CG62" s="92"/>
      <c r="CH62" s="92"/>
    </row>
    <row r="63" spans="1:86" ht="12.75" x14ac:dyDescent="0.2">
      <c r="AJ63" s="27">
        <f t="shared" si="0"/>
        <v>0</v>
      </c>
    </row>
    <row r="64" spans="1:86" ht="12.75" x14ac:dyDescent="0.2">
      <c r="A64" s="97" t="s">
        <v>401</v>
      </c>
      <c r="B64" s="116" t="s">
        <v>1096</v>
      </c>
      <c r="G64" s="27">
        <v>1737</v>
      </c>
      <c r="H64" s="27">
        <v>8685</v>
      </c>
      <c r="O64" s="27">
        <v>650</v>
      </c>
      <c r="P64" s="27">
        <v>600</v>
      </c>
      <c r="Q64" s="27">
        <v>34</v>
      </c>
      <c r="R64" s="27">
        <v>6</v>
      </c>
      <c r="S64" s="27">
        <v>19</v>
      </c>
      <c r="T64" s="27">
        <v>19</v>
      </c>
      <c r="V64" s="27">
        <v>2</v>
      </c>
      <c r="W64" s="27">
        <v>6</v>
      </c>
      <c r="X64" s="27">
        <v>6</v>
      </c>
      <c r="Y64" s="27">
        <v>200</v>
      </c>
      <c r="Z64" s="27">
        <v>6</v>
      </c>
      <c r="AA64" s="27">
        <v>6</v>
      </c>
      <c r="AB64" s="27">
        <v>110</v>
      </c>
      <c r="AC64" s="27">
        <v>6</v>
      </c>
      <c r="AD64" s="27">
        <v>6</v>
      </c>
      <c r="AE64" s="27">
        <v>205</v>
      </c>
      <c r="AJ64" s="27">
        <f t="shared" si="0"/>
        <v>1134</v>
      </c>
      <c r="AK64" s="27">
        <v>1737</v>
      </c>
      <c r="AL64" s="27">
        <v>1</v>
      </c>
      <c r="AM64" s="27">
        <v>0</v>
      </c>
      <c r="AN64" s="27">
        <v>1</v>
      </c>
      <c r="AO64" s="27">
        <v>0</v>
      </c>
      <c r="AP64" s="27">
        <v>1</v>
      </c>
      <c r="AQ64" s="27">
        <v>0</v>
      </c>
      <c r="AZ64" s="27">
        <v>0</v>
      </c>
      <c r="BO64" s="27">
        <v>0</v>
      </c>
    </row>
    <row r="65" spans="1:86" ht="12.75" x14ac:dyDescent="0.2">
      <c r="B65" s="117"/>
      <c r="C65" s="27">
        <v>3</v>
      </c>
      <c r="G65" s="27">
        <v>1665</v>
      </c>
      <c r="H65" s="27">
        <v>8325</v>
      </c>
      <c r="O65" s="27">
        <v>650</v>
      </c>
      <c r="P65" s="27">
        <v>550</v>
      </c>
      <c r="Q65" s="27">
        <v>25</v>
      </c>
      <c r="R65" s="27">
        <v>3</v>
      </c>
      <c r="S65" s="27">
        <v>15</v>
      </c>
      <c r="T65" s="27">
        <v>15</v>
      </c>
      <c r="V65" s="27">
        <v>4</v>
      </c>
      <c r="W65" s="27">
        <v>6</v>
      </c>
      <c r="X65" s="27">
        <v>6</v>
      </c>
      <c r="Y65" s="27">
        <v>210</v>
      </c>
      <c r="Z65" s="27">
        <v>6</v>
      </c>
      <c r="AA65" s="27">
        <v>6</v>
      </c>
      <c r="AB65" s="27">
        <v>115</v>
      </c>
      <c r="AC65" s="27">
        <v>6</v>
      </c>
      <c r="AD65" s="27">
        <v>6</v>
      </c>
      <c r="AE65" s="27">
        <v>202</v>
      </c>
      <c r="AJ65" s="27">
        <f t="shared" si="0"/>
        <v>1092</v>
      </c>
      <c r="AK65" s="27">
        <v>1665</v>
      </c>
      <c r="AL65" s="27">
        <v>0</v>
      </c>
      <c r="AM65" s="27">
        <v>0</v>
      </c>
      <c r="AN65" s="27">
        <v>0</v>
      </c>
      <c r="AO65" s="27">
        <v>0</v>
      </c>
      <c r="AP65" s="27">
        <v>0</v>
      </c>
      <c r="AQ65" s="27">
        <v>0</v>
      </c>
      <c r="AZ65" s="27">
        <v>2</v>
      </c>
      <c r="BO65" s="27">
        <v>0</v>
      </c>
    </row>
    <row r="66" spans="1:86" ht="12.75" x14ac:dyDescent="0.2">
      <c r="B66" s="116" t="s">
        <v>1121</v>
      </c>
      <c r="G66" s="27">
        <v>1616</v>
      </c>
      <c r="H66" s="27">
        <v>8080</v>
      </c>
      <c r="O66" s="27">
        <v>650</v>
      </c>
      <c r="P66" s="27">
        <v>600</v>
      </c>
      <c r="Q66" s="27">
        <v>106</v>
      </c>
      <c r="R66" s="27">
        <v>11</v>
      </c>
      <c r="S66" s="27">
        <v>86</v>
      </c>
      <c r="T66" s="27">
        <v>50</v>
      </c>
      <c r="V66" s="27">
        <v>0</v>
      </c>
      <c r="W66" s="27">
        <v>6</v>
      </c>
      <c r="X66" s="27">
        <v>6</v>
      </c>
      <c r="Y66" s="27">
        <v>255</v>
      </c>
      <c r="Z66" s="27">
        <v>6</v>
      </c>
      <c r="AA66" s="27">
        <v>6</v>
      </c>
      <c r="AB66" s="27">
        <v>113</v>
      </c>
      <c r="AC66" s="27">
        <v>6</v>
      </c>
      <c r="AD66" s="27">
        <v>6</v>
      </c>
      <c r="AE66" s="27">
        <v>201</v>
      </c>
      <c r="AJ66" s="27">
        <f t="shared" si="0"/>
        <v>1219</v>
      </c>
      <c r="AK66" s="27">
        <v>1432</v>
      </c>
      <c r="AL66" s="27">
        <v>1</v>
      </c>
      <c r="AM66" s="27">
        <v>27</v>
      </c>
      <c r="AN66" s="27">
        <v>14</v>
      </c>
      <c r="AO66" s="27">
        <v>2</v>
      </c>
      <c r="AP66" s="27">
        <v>6</v>
      </c>
      <c r="AQ66" s="27">
        <v>2</v>
      </c>
      <c r="AX66" s="27">
        <v>0</v>
      </c>
      <c r="AY66" s="27">
        <v>3</v>
      </c>
      <c r="AZ66" s="27">
        <v>2</v>
      </c>
      <c r="BA66" s="27">
        <v>0</v>
      </c>
      <c r="BC66" s="27">
        <v>3</v>
      </c>
      <c r="BD66" s="27">
        <v>15</v>
      </c>
      <c r="BM66" s="27">
        <v>14</v>
      </c>
      <c r="BO66" s="27">
        <v>1</v>
      </c>
      <c r="BS66" s="27">
        <v>1</v>
      </c>
    </row>
    <row r="67" spans="1:86" ht="12.75" x14ac:dyDescent="0.2">
      <c r="B67" s="117"/>
      <c r="G67" s="27">
        <v>1600</v>
      </c>
      <c r="H67" s="27">
        <v>8000</v>
      </c>
      <c r="O67" s="27">
        <v>650</v>
      </c>
      <c r="P67" s="27">
        <v>550</v>
      </c>
      <c r="Q67" s="27">
        <v>96</v>
      </c>
      <c r="R67" s="27">
        <v>3</v>
      </c>
      <c r="S67" s="27">
        <v>25</v>
      </c>
      <c r="T67" s="27">
        <v>37</v>
      </c>
      <c r="V67" s="27">
        <v>5</v>
      </c>
      <c r="W67" s="27">
        <v>6</v>
      </c>
      <c r="X67" s="27">
        <v>6</v>
      </c>
      <c r="Y67" s="27">
        <v>217</v>
      </c>
      <c r="Z67" s="27">
        <v>6</v>
      </c>
      <c r="AA67" s="27">
        <v>6</v>
      </c>
      <c r="AB67" s="27">
        <v>124</v>
      </c>
      <c r="AC67" s="27">
        <v>6</v>
      </c>
      <c r="AD67" s="27">
        <v>6</v>
      </c>
      <c r="AE67" s="27">
        <v>195</v>
      </c>
      <c r="AJ67" s="27">
        <f t="shared" si="0"/>
        <v>1123</v>
      </c>
      <c r="AK67" s="27">
        <v>1910</v>
      </c>
      <c r="AL67" s="27">
        <v>0</v>
      </c>
      <c r="AM67" s="27">
        <v>3</v>
      </c>
      <c r="AN67" s="27">
        <v>2</v>
      </c>
      <c r="AO67" s="27">
        <v>0</v>
      </c>
      <c r="AP67" s="27">
        <v>0</v>
      </c>
      <c r="AQ67" s="27">
        <v>0</v>
      </c>
      <c r="AX67" s="27">
        <v>0</v>
      </c>
      <c r="AY67" s="27">
        <v>0</v>
      </c>
      <c r="AZ67" s="27">
        <v>0</v>
      </c>
      <c r="BA67" s="27">
        <v>0</v>
      </c>
      <c r="BC67" s="27">
        <v>0</v>
      </c>
      <c r="BD67" s="27">
        <v>0</v>
      </c>
      <c r="BM67" s="27">
        <v>5</v>
      </c>
      <c r="BO67" s="27">
        <v>0</v>
      </c>
    </row>
    <row r="68" spans="1:86" ht="12.75" x14ac:dyDescent="0.2">
      <c r="B68" s="116" t="s">
        <v>1148</v>
      </c>
      <c r="E68" s="27">
        <v>2</v>
      </c>
      <c r="G68" s="27">
        <v>1955</v>
      </c>
      <c r="H68" s="27">
        <v>9775</v>
      </c>
      <c r="O68" s="27">
        <v>650</v>
      </c>
      <c r="P68" s="27">
        <v>550</v>
      </c>
      <c r="Q68" s="27">
        <v>207</v>
      </c>
      <c r="R68" s="27">
        <v>5</v>
      </c>
      <c r="S68" s="27">
        <v>24</v>
      </c>
      <c r="T68" s="27">
        <v>25</v>
      </c>
      <c r="V68" s="27">
        <v>2</v>
      </c>
      <c r="W68" s="27">
        <v>6</v>
      </c>
      <c r="X68" s="27">
        <v>6</v>
      </c>
      <c r="Y68" s="27">
        <v>261</v>
      </c>
      <c r="Z68" s="27">
        <v>6</v>
      </c>
      <c r="AA68" s="27">
        <v>6</v>
      </c>
      <c r="AB68" s="27">
        <v>112</v>
      </c>
      <c r="AC68" s="27">
        <v>6</v>
      </c>
      <c r="AD68" s="27">
        <v>6</v>
      </c>
      <c r="AE68" s="27">
        <v>186</v>
      </c>
      <c r="AJ68" s="27">
        <f t="shared" si="0"/>
        <v>1134</v>
      </c>
      <c r="AK68" s="27">
        <v>2025</v>
      </c>
      <c r="AL68" s="27">
        <v>10</v>
      </c>
      <c r="AM68" s="27">
        <v>13</v>
      </c>
      <c r="AN68" s="27">
        <v>3</v>
      </c>
      <c r="AO68" s="27">
        <v>0</v>
      </c>
      <c r="AP68" s="27">
        <v>0</v>
      </c>
      <c r="AQ68" s="27">
        <v>0</v>
      </c>
      <c r="AX68" s="27">
        <v>0</v>
      </c>
      <c r="AY68" s="27">
        <v>0</v>
      </c>
      <c r="AZ68" s="27">
        <v>3</v>
      </c>
      <c r="BA68" s="27">
        <v>0</v>
      </c>
      <c r="BB68" s="27">
        <v>0</v>
      </c>
      <c r="BC68" s="27">
        <v>0</v>
      </c>
      <c r="BD68" s="27">
        <v>6</v>
      </c>
      <c r="BE68" s="27">
        <v>0</v>
      </c>
      <c r="BF68" s="27">
        <v>77</v>
      </c>
      <c r="BH68" s="27">
        <v>0</v>
      </c>
      <c r="BI68" s="27">
        <v>2</v>
      </c>
      <c r="BJ68" s="27" t="s">
        <v>1149</v>
      </c>
      <c r="BM68" s="27">
        <v>1</v>
      </c>
      <c r="BO68" s="27">
        <v>2</v>
      </c>
      <c r="BS68" s="27">
        <v>2</v>
      </c>
    </row>
    <row r="69" spans="1:86" ht="12.75" x14ac:dyDescent="0.2">
      <c r="B69" s="117"/>
      <c r="E69" s="27">
        <v>2</v>
      </c>
      <c r="G69" s="27">
        <v>1720</v>
      </c>
      <c r="H69" s="27">
        <v>8600</v>
      </c>
      <c r="O69" s="27">
        <v>650</v>
      </c>
      <c r="P69" s="27">
        <v>500</v>
      </c>
      <c r="Q69" s="27">
        <v>109</v>
      </c>
      <c r="R69" s="27">
        <v>7</v>
      </c>
      <c r="S69" s="27">
        <v>22</v>
      </c>
      <c r="T69" s="27">
        <v>19</v>
      </c>
      <c r="V69" s="27">
        <v>3</v>
      </c>
      <c r="W69" s="27">
        <v>6</v>
      </c>
      <c r="X69" s="27">
        <v>6</v>
      </c>
      <c r="Y69" s="27">
        <v>243</v>
      </c>
      <c r="Z69" s="27">
        <v>6</v>
      </c>
      <c r="AA69" s="27">
        <v>6</v>
      </c>
      <c r="AB69" s="27">
        <v>110</v>
      </c>
      <c r="AC69" s="27">
        <v>6</v>
      </c>
      <c r="AD69" s="27">
        <v>6</v>
      </c>
      <c r="AE69" s="27">
        <v>195</v>
      </c>
      <c r="AJ69" s="27">
        <f t="shared" si="0"/>
        <v>1067</v>
      </c>
      <c r="AK69" s="27">
        <v>1748</v>
      </c>
      <c r="AL69" s="27">
        <v>3</v>
      </c>
      <c r="AM69" s="27">
        <v>5</v>
      </c>
      <c r="AN69" s="27">
        <v>13</v>
      </c>
      <c r="AO69" s="27">
        <v>0</v>
      </c>
      <c r="AP69" s="27">
        <v>0</v>
      </c>
      <c r="AQ69" s="27">
        <v>0</v>
      </c>
      <c r="AX69" s="27">
        <v>5</v>
      </c>
      <c r="AY69" s="27">
        <v>0</v>
      </c>
      <c r="AZ69" s="27">
        <v>0</v>
      </c>
      <c r="BA69" s="27">
        <v>0</v>
      </c>
      <c r="BB69" s="27">
        <v>0</v>
      </c>
      <c r="BC69" s="27">
        <v>0</v>
      </c>
      <c r="BD69" s="27">
        <v>0</v>
      </c>
      <c r="BE69" s="27">
        <v>0</v>
      </c>
      <c r="BF69" s="27">
        <v>22</v>
      </c>
      <c r="BH69" s="27">
        <v>0</v>
      </c>
      <c r="BI69" s="27">
        <v>3</v>
      </c>
      <c r="BJ69" s="27">
        <v>0</v>
      </c>
      <c r="BM69" s="27">
        <v>1</v>
      </c>
      <c r="BO69" s="27">
        <v>1</v>
      </c>
      <c r="BS69" s="27">
        <v>1</v>
      </c>
    </row>
    <row r="70" spans="1:86" ht="12.75" x14ac:dyDescent="0.2">
      <c r="A70" s="94"/>
      <c r="B70" s="94" t="s">
        <v>1150</v>
      </c>
      <c r="C70" s="94"/>
      <c r="D70" s="94"/>
      <c r="E70" s="94">
        <v>2</v>
      </c>
      <c r="F70" s="94"/>
      <c r="G70" s="94">
        <v>10293</v>
      </c>
      <c r="H70" s="94">
        <v>51465</v>
      </c>
      <c r="I70" s="94"/>
      <c r="J70" s="94"/>
      <c r="K70" s="94"/>
      <c r="L70" s="94"/>
      <c r="M70" s="94"/>
      <c r="N70" s="94"/>
      <c r="O70" s="94">
        <v>3900</v>
      </c>
      <c r="P70" s="94">
        <v>3350</v>
      </c>
      <c r="Q70" s="94">
        <v>577</v>
      </c>
      <c r="R70" s="94">
        <v>35</v>
      </c>
      <c r="S70" s="94">
        <v>191</v>
      </c>
      <c r="T70" s="94">
        <v>165</v>
      </c>
      <c r="U70" s="94"/>
      <c r="V70" s="94">
        <v>16</v>
      </c>
      <c r="W70" s="94">
        <v>36</v>
      </c>
      <c r="X70" s="94">
        <v>36</v>
      </c>
      <c r="Y70" s="94">
        <v>1386</v>
      </c>
      <c r="Z70" s="94">
        <v>36</v>
      </c>
      <c r="AA70" s="94">
        <v>36</v>
      </c>
      <c r="AB70" s="94">
        <v>684</v>
      </c>
      <c r="AC70" s="94">
        <v>36</v>
      </c>
      <c r="AD70" s="94">
        <v>36</v>
      </c>
      <c r="AE70" s="94">
        <v>1184</v>
      </c>
      <c r="AF70" s="94"/>
      <c r="AG70" s="94"/>
      <c r="AH70" s="94"/>
      <c r="AI70" s="94"/>
      <c r="AJ70" s="94">
        <f t="shared" si="0"/>
        <v>6769</v>
      </c>
      <c r="AK70" s="94">
        <v>10517</v>
      </c>
      <c r="AL70" s="94">
        <v>15</v>
      </c>
      <c r="AM70" s="94">
        <v>48</v>
      </c>
      <c r="AN70" s="94">
        <v>33</v>
      </c>
      <c r="AO70" s="94">
        <v>2</v>
      </c>
      <c r="AP70" s="94">
        <v>7</v>
      </c>
      <c r="AQ70" s="94">
        <v>2</v>
      </c>
      <c r="AR70" s="94"/>
      <c r="AS70" s="94"/>
      <c r="AT70" s="92">
        <f>SUM(AL70:AR70)</f>
        <v>107</v>
      </c>
      <c r="AU70" s="94"/>
      <c r="AV70" s="94"/>
      <c r="AW70" s="94"/>
      <c r="AX70" s="94">
        <v>5</v>
      </c>
      <c r="AY70" s="94">
        <v>3</v>
      </c>
      <c r="AZ70" s="94">
        <v>7</v>
      </c>
      <c r="BA70" s="94">
        <v>0</v>
      </c>
      <c r="BB70" s="94">
        <v>0</v>
      </c>
      <c r="BC70" s="94">
        <v>3</v>
      </c>
      <c r="BD70" s="94">
        <v>21</v>
      </c>
      <c r="BE70" s="94">
        <v>0</v>
      </c>
      <c r="BF70" s="94">
        <v>99</v>
      </c>
      <c r="BG70" s="94"/>
      <c r="BH70" s="94"/>
      <c r="BI70" s="94">
        <v>5</v>
      </c>
      <c r="BJ70" s="94">
        <v>15</v>
      </c>
      <c r="BK70" s="94">
        <f t="shared" ref="BK70:BL70" si="2">143+15</f>
        <v>158</v>
      </c>
      <c r="BL70" s="94">
        <f t="shared" si="2"/>
        <v>158</v>
      </c>
      <c r="BM70" s="94">
        <v>21</v>
      </c>
      <c r="BN70" s="94"/>
      <c r="BO70" s="94">
        <v>4</v>
      </c>
      <c r="BP70" s="94"/>
      <c r="BQ70" s="94"/>
      <c r="BR70" s="94"/>
      <c r="BS70" s="94">
        <v>4</v>
      </c>
      <c r="BT70" s="94"/>
      <c r="BU70" s="94"/>
      <c r="BV70" s="94"/>
      <c r="BW70" s="94"/>
      <c r="BX70" s="94"/>
      <c r="BY70" s="94"/>
      <c r="BZ70" s="94"/>
      <c r="CA70" s="94"/>
      <c r="CB70" s="94"/>
      <c r="CC70" s="94"/>
      <c r="CD70" s="94"/>
      <c r="CE70" s="94"/>
      <c r="CF70" s="94"/>
      <c r="CG70" s="94"/>
      <c r="CH70" s="94"/>
    </row>
    <row r="71" spans="1:86" ht="12.75" x14ac:dyDescent="0.2">
      <c r="B71" s="116" t="s">
        <v>1151</v>
      </c>
      <c r="E71" s="27">
        <v>2</v>
      </c>
      <c r="G71" s="27">
        <v>1700</v>
      </c>
      <c r="H71" s="27">
        <v>8500</v>
      </c>
      <c r="O71" s="27">
        <v>650</v>
      </c>
      <c r="P71" s="27">
        <v>550</v>
      </c>
      <c r="Q71" s="27">
        <v>104</v>
      </c>
      <c r="R71" s="27">
        <v>6</v>
      </c>
      <c r="S71" s="27">
        <v>26</v>
      </c>
      <c r="T71" s="27">
        <v>25</v>
      </c>
      <c r="V71" s="27">
        <v>5</v>
      </c>
      <c r="W71" s="27">
        <v>3</v>
      </c>
      <c r="X71" s="27">
        <v>3</v>
      </c>
      <c r="Y71" s="27">
        <v>115</v>
      </c>
      <c r="Z71" s="27">
        <v>6</v>
      </c>
      <c r="AA71" s="27">
        <v>6</v>
      </c>
      <c r="AB71" s="27">
        <v>110</v>
      </c>
      <c r="AC71" s="27">
        <v>6</v>
      </c>
      <c r="AD71" s="27">
        <v>6</v>
      </c>
      <c r="AE71" s="27">
        <v>123</v>
      </c>
      <c r="AJ71" s="27">
        <f t="shared" si="0"/>
        <v>923</v>
      </c>
      <c r="AK71" s="27">
        <v>1835</v>
      </c>
      <c r="AL71" s="27">
        <v>29</v>
      </c>
      <c r="AM71" s="27">
        <v>9</v>
      </c>
      <c r="AN71" s="27">
        <v>5</v>
      </c>
      <c r="AO71" s="27">
        <v>0</v>
      </c>
      <c r="AP71" s="27">
        <v>0</v>
      </c>
      <c r="AQ71" s="27">
        <v>0</v>
      </c>
      <c r="AX71" s="27">
        <v>2</v>
      </c>
      <c r="AY71" s="27">
        <v>2</v>
      </c>
      <c r="AZ71" s="27">
        <v>0</v>
      </c>
      <c r="BA71" s="27">
        <v>0</v>
      </c>
      <c r="BB71" s="27">
        <v>0</v>
      </c>
      <c r="BC71" s="27">
        <v>0</v>
      </c>
      <c r="BD71" s="27">
        <v>7</v>
      </c>
      <c r="BE71" s="27">
        <v>0</v>
      </c>
      <c r="BF71" s="27">
        <v>85</v>
      </c>
      <c r="BI71" s="27">
        <v>0</v>
      </c>
      <c r="BJ71" s="27">
        <v>0</v>
      </c>
      <c r="BM71" s="27">
        <v>5</v>
      </c>
      <c r="BO71" s="27">
        <v>4</v>
      </c>
      <c r="BS71" s="27">
        <v>2</v>
      </c>
      <c r="BU71" s="27" t="s">
        <v>1152</v>
      </c>
    </row>
    <row r="72" spans="1:86" ht="12.75" x14ac:dyDescent="0.2">
      <c r="B72" s="117"/>
      <c r="G72" s="27">
        <v>1583</v>
      </c>
      <c r="H72" s="27">
        <v>7915</v>
      </c>
      <c r="O72" s="27">
        <v>650</v>
      </c>
      <c r="P72" s="27">
        <v>450</v>
      </c>
      <c r="Q72" s="27">
        <v>109</v>
      </c>
      <c r="R72" s="27">
        <v>0</v>
      </c>
      <c r="S72" s="27">
        <v>18</v>
      </c>
      <c r="T72" s="27">
        <v>19</v>
      </c>
      <c r="V72" s="27">
        <v>1</v>
      </c>
      <c r="W72" s="27">
        <v>3</v>
      </c>
      <c r="X72" s="27">
        <v>3</v>
      </c>
      <c r="Y72" s="27">
        <v>90</v>
      </c>
      <c r="Z72" s="27">
        <v>6</v>
      </c>
      <c r="AA72" s="27">
        <v>6</v>
      </c>
      <c r="AB72" s="27">
        <v>121</v>
      </c>
      <c r="AC72" s="27">
        <v>6</v>
      </c>
      <c r="AD72" s="27">
        <v>6</v>
      </c>
      <c r="AE72" s="27">
        <v>142</v>
      </c>
      <c r="AJ72" s="27">
        <f t="shared" si="0"/>
        <v>822</v>
      </c>
      <c r="AK72" s="27">
        <v>1213</v>
      </c>
      <c r="AL72" s="27">
        <v>13</v>
      </c>
      <c r="AM72" s="27">
        <v>12</v>
      </c>
      <c r="AN72" s="27">
        <v>3</v>
      </c>
      <c r="AO72" s="27">
        <v>0</v>
      </c>
      <c r="AP72" s="27">
        <v>0</v>
      </c>
      <c r="AQ72" s="27">
        <v>0</v>
      </c>
      <c r="AX72" s="27">
        <v>2</v>
      </c>
      <c r="AY72" s="27">
        <v>3</v>
      </c>
      <c r="AZ72" s="27">
        <v>0</v>
      </c>
      <c r="BA72" s="27">
        <v>0</v>
      </c>
      <c r="BB72" s="27">
        <v>0</v>
      </c>
      <c r="BC72" s="27">
        <v>0</v>
      </c>
      <c r="BD72" s="27">
        <v>5</v>
      </c>
      <c r="BE72" s="27">
        <v>0</v>
      </c>
      <c r="BF72" s="27">
        <v>74</v>
      </c>
      <c r="BI72" s="27">
        <v>0</v>
      </c>
      <c r="BJ72" s="27">
        <v>0</v>
      </c>
      <c r="BM72" s="27">
        <v>7</v>
      </c>
      <c r="BO72" s="27">
        <v>2</v>
      </c>
      <c r="BS72" s="27"/>
      <c r="BU72" s="27" t="s">
        <v>1153</v>
      </c>
    </row>
    <row r="73" spans="1:86" ht="12.75" x14ac:dyDescent="0.2">
      <c r="B73" s="116" t="s">
        <v>1126</v>
      </c>
      <c r="E73" s="27">
        <v>2</v>
      </c>
      <c r="G73" s="27">
        <v>1748</v>
      </c>
      <c r="H73" s="27">
        <v>8740</v>
      </c>
      <c r="O73" s="27">
        <v>650</v>
      </c>
      <c r="P73" s="27">
        <v>600</v>
      </c>
      <c r="Q73" s="27">
        <v>153</v>
      </c>
      <c r="R73" s="27">
        <v>2</v>
      </c>
      <c r="S73" s="27">
        <v>98</v>
      </c>
      <c r="T73" s="27">
        <v>10</v>
      </c>
      <c r="V73" s="27">
        <v>2</v>
      </c>
      <c r="W73" s="27">
        <v>3</v>
      </c>
      <c r="X73" s="27">
        <v>3</v>
      </c>
      <c r="Y73" s="27">
        <v>56</v>
      </c>
      <c r="Z73" s="27">
        <v>6</v>
      </c>
      <c r="AA73" s="27">
        <v>6</v>
      </c>
      <c r="AB73" s="27">
        <v>78</v>
      </c>
      <c r="AC73" s="27">
        <v>6</v>
      </c>
      <c r="AD73" s="27">
        <v>6</v>
      </c>
      <c r="AE73" s="27">
        <v>128</v>
      </c>
      <c r="AJ73" s="27">
        <f t="shared" si="0"/>
        <v>872</v>
      </c>
      <c r="AK73" s="27">
        <v>1737</v>
      </c>
      <c r="AL73" s="27">
        <v>15</v>
      </c>
      <c r="AM73" s="27">
        <v>9</v>
      </c>
      <c r="AN73" s="27">
        <v>3</v>
      </c>
      <c r="AO73" s="27">
        <v>0</v>
      </c>
      <c r="AP73" s="27">
        <v>0</v>
      </c>
      <c r="AQ73" s="27">
        <v>0</v>
      </c>
      <c r="AX73" s="27">
        <v>16</v>
      </c>
      <c r="AY73" s="27">
        <v>1</v>
      </c>
      <c r="AZ73" s="27">
        <v>11</v>
      </c>
      <c r="BA73" s="27">
        <v>0</v>
      </c>
      <c r="BB73" s="27">
        <v>0</v>
      </c>
      <c r="BC73" s="27">
        <v>0</v>
      </c>
      <c r="BD73" s="27">
        <v>9</v>
      </c>
      <c r="BE73" s="27">
        <v>0</v>
      </c>
      <c r="BF73" s="27">
        <v>23</v>
      </c>
      <c r="BI73" s="27">
        <v>3</v>
      </c>
      <c r="BJ73" s="27">
        <v>0</v>
      </c>
      <c r="BM73" s="27">
        <v>0</v>
      </c>
      <c r="BO73" s="27">
        <v>7</v>
      </c>
      <c r="BP73" s="27">
        <v>1</v>
      </c>
      <c r="BS73" s="27">
        <v>2</v>
      </c>
      <c r="BU73" s="27" t="s">
        <v>1154</v>
      </c>
    </row>
    <row r="74" spans="1:86" ht="12.75" x14ac:dyDescent="0.2">
      <c r="B74" s="117"/>
      <c r="E74" s="27">
        <v>2</v>
      </c>
      <c r="G74" s="27">
        <v>1443</v>
      </c>
      <c r="H74" s="27">
        <v>7215</v>
      </c>
      <c r="O74" s="27">
        <v>650</v>
      </c>
      <c r="P74" s="27">
        <v>550</v>
      </c>
      <c r="Q74" s="27">
        <v>159</v>
      </c>
      <c r="R74" s="27">
        <v>4</v>
      </c>
      <c r="S74" s="27">
        <v>72</v>
      </c>
      <c r="T74" s="27">
        <v>12</v>
      </c>
      <c r="V74" s="27">
        <v>2</v>
      </c>
      <c r="W74" s="27">
        <v>3</v>
      </c>
      <c r="X74" s="27">
        <v>3</v>
      </c>
      <c r="Y74" s="27">
        <v>78</v>
      </c>
      <c r="Z74" s="27">
        <v>6</v>
      </c>
      <c r="AA74" s="27">
        <v>6</v>
      </c>
      <c r="AB74" s="27">
        <v>99</v>
      </c>
      <c r="AC74" s="27">
        <v>6</v>
      </c>
      <c r="AD74" s="27">
        <v>6</v>
      </c>
      <c r="AE74" s="27">
        <v>136</v>
      </c>
      <c r="AJ74" s="27">
        <f t="shared" si="0"/>
        <v>875</v>
      </c>
      <c r="AK74" s="27">
        <v>1193</v>
      </c>
      <c r="AL74" s="27">
        <v>12</v>
      </c>
      <c r="AM74" s="27">
        <v>10</v>
      </c>
      <c r="AN74" s="27">
        <v>10</v>
      </c>
      <c r="AO74" s="27">
        <v>0</v>
      </c>
      <c r="AP74" s="27">
        <v>3</v>
      </c>
      <c r="AQ74" s="27">
        <v>0</v>
      </c>
      <c r="AX74" s="27">
        <v>30</v>
      </c>
      <c r="AY74" s="27">
        <v>2</v>
      </c>
      <c r="AZ74" s="27">
        <v>1</v>
      </c>
      <c r="BA74" s="27">
        <v>0</v>
      </c>
      <c r="BB74" s="27">
        <v>0</v>
      </c>
      <c r="BC74" s="27">
        <v>0</v>
      </c>
      <c r="BD74" s="27">
        <v>7</v>
      </c>
      <c r="BE74" s="27">
        <v>0</v>
      </c>
      <c r="BF74" s="27">
        <v>35</v>
      </c>
      <c r="BI74" s="27">
        <v>1</v>
      </c>
      <c r="BJ74" s="27">
        <v>0</v>
      </c>
      <c r="BM74" s="27">
        <v>4</v>
      </c>
      <c r="BO74" s="27">
        <v>0</v>
      </c>
    </row>
    <row r="75" spans="1:86" ht="12.75" x14ac:dyDescent="0.2">
      <c r="B75" s="116" t="s">
        <v>1155</v>
      </c>
      <c r="E75" s="27">
        <v>2</v>
      </c>
      <c r="G75" s="27">
        <v>1930</v>
      </c>
      <c r="H75" s="27">
        <v>9650</v>
      </c>
      <c r="O75" s="27">
        <v>650</v>
      </c>
      <c r="P75" s="27">
        <v>560</v>
      </c>
      <c r="Q75" s="27">
        <v>179</v>
      </c>
      <c r="R75" s="27">
        <v>6</v>
      </c>
      <c r="S75" s="27">
        <v>119</v>
      </c>
      <c r="T75" s="27">
        <v>39</v>
      </c>
      <c r="V75" s="27">
        <v>1</v>
      </c>
      <c r="W75" s="27">
        <v>3</v>
      </c>
      <c r="X75" s="27">
        <v>3</v>
      </c>
      <c r="Y75" s="27">
        <v>82</v>
      </c>
      <c r="Z75" s="27">
        <v>6</v>
      </c>
      <c r="AA75" s="27">
        <v>6</v>
      </c>
      <c r="AB75" s="27">
        <v>95</v>
      </c>
      <c r="AC75" s="27">
        <v>6</v>
      </c>
      <c r="AD75" s="27">
        <v>6</v>
      </c>
      <c r="AE75" s="27">
        <v>114</v>
      </c>
      <c r="AJ75" s="27">
        <v>291</v>
      </c>
      <c r="AK75" s="27">
        <v>1578</v>
      </c>
      <c r="AL75" s="27">
        <v>11</v>
      </c>
      <c r="AM75" s="27">
        <v>11</v>
      </c>
      <c r="AN75" s="27">
        <v>4</v>
      </c>
      <c r="AO75" s="27">
        <v>0</v>
      </c>
      <c r="AP75" s="27">
        <v>0</v>
      </c>
      <c r="AQ75" s="27">
        <v>0</v>
      </c>
      <c r="AX75" s="27">
        <v>1</v>
      </c>
      <c r="AY75" s="27">
        <v>5</v>
      </c>
      <c r="AZ75" s="27">
        <v>11</v>
      </c>
      <c r="BA75" s="27">
        <v>10</v>
      </c>
      <c r="BB75" s="27">
        <v>0</v>
      </c>
      <c r="BC75" s="27">
        <v>0</v>
      </c>
      <c r="BD75" s="27">
        <v>23</v>
      </c>
      <c r="BE75" s="27">
        <v>0</v>
      </c>
      <c r="BF75" s="27">
        <v>60</v>
      </c>
      <c r="BI75" s="27">
        <v>4</v>
      </c>
      <c r="BM75" s="27">
        <v>7</v>
      </c>
      <c r="BO75" s="27">
        <v>6</v>
      </c>
      <c r="BQ75" s="27">
        <v>1</v>
      </c>
      <c r="BU75" s="27" t="s">
        <v>1156</v>
      </c>
    </row>
    <row r="76" spans="1:86" ht="12.75" x14ac:dyDescent="0.2">
      <c r="B76" s="117"/>
      <c r="E76" s="27">
        <v>2</v>
      </c>
      <c r="G76" s="27">
        <v>1696</v>
      </c>
      <c r="H76" s="27">
        <v>8480</v>
      </c>
      <c r="O76" s="27">
        <v>650</v>
      </c>
      <c r="P76" s="27">
        <v>515</v>
      </c>
      <c r="Q76" s="27">
        <v>139</v>
      </c>
      <c r="R76" s="27">
        <v>0</v>
      </c>
      <c r="S76" s="27">
        <v>110</v>
      </c>
      <c r="T76" s="27">
        <v>21</v>
      </c>
      <c r="V76" s="27">
        <v>0</v>
      </c>
      <c r="W76" s="27">
        <v>3</v>
      </c>
      <c r="X76" s="27">
        <v>3</v>
      </c>
      <c r="Y76" s="27">
        <v>79</v>
      </c>
      <c r="Z76" s="27">
        <v>6</v>
      </c>
      <c r="AA76" s="27">
        <v>6</v>
      </c>
      <c r="AB76" s="27">
        <v>92</v>
      </c>
      <c r="AC76" s="27">
        <v>6</v>
      </c>
      <c r="AD76" s="27">
        <v>6</v>
      </c>
      <c r="AE76" s="27">
        <v>123</v>
      </c>
      <c r="AJ76" s="27">
        <v>294</v>
      </c>
      <c r="AK76" s="27">
        <v>1363</v>
      </c>
      <c r="AL76" s="27">
        <v>11</v>
      </c>
      <c r="AM76" s="27">
        <v>29</v>
      </c>
      <c r="AN76" s="27">
        <v>15</v>
      </c>
      <c r="AO76" s="27">
        <v>0</v>
      </c>
      <c r="AP76" s="27">
        <v>1</v>
      </c>
      <c r="AQ76" s="27">
        <v>0</v>
      </c>
      <c r="AX76" s="27">
        <v>9</v>
      </c>
      <c r="AY76" s="27">
        <v>3</v>
      </c>
      <c r="AZ76" s="27">
        <v>1</v>
      </c>
      <c r="BA76" s="27">
        <v>0</v>
      </c>
      <c r="BB76" s="27">
        <v>0</v>
      </c>
      <c r="BC76" s="27">
        <v>0</v>
      </c>
      <c r="BD76" s="27">
        <v>11</v>
      </c>
      <c r="BE76" s="27">
        <v>0</v>
      </c>
      <c r="BF76" s="27">
        <v>72</v>
      </c>
      <c r="BI76" s="27">
        <v>0</v>
      </c>
      <c r="BJ76" s="27">
        <v>0</v>
      </c>
      <c r="BM76" s="27">
        <v>1</v>
      </c>
      <c r="BO76" s="27">
        <v>6</v>
      </c>
      <c r="BU76" s="27" t="s">
        <v>1157</v>
      </c>
    </row>
    <row r="77" spans="1:86" ht="12.75" x14ac:dyDescent="0.2">
      <c r="A77" s="92"/>
      <c r="B77" s="92" t="s">
        <v>1158</v>
      </c>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f t="shared" ref="AJ77:AQ77" si="3">SUM(AJ71:AJ76)</f>
        <v>4077</v>
      </c>
      <c r="AK77" s="92">
        <f t="shared" si="3"/>
        <v>8919</v>
      </c>
      <c r="AL77" s="92">
        <f t="shared" si="3"/>
        <v>91</v>
      </c>
      <c r="AM77" s="92">
        <f t="shared" si="3"/>
        <v>80</v>
      </c>
      <c r="AN77" s="92">
        <f t="shared" si="3"/>
        <v>40</v>
      </c>
      <c r="AO77" s="92">
        <f t="shared" si="3"/>
        <v>0</v>
      </c>
      <c r="AP77" s="92">
        <f t="shared" si="3"/>
        <v>4</v>
      </c>
      <c r="AQ77" s="92">
        <f t="shared" si="3"/>
        <v>0</v>
      </c>
      <c r="AR77" s="92"/>
      <c r="AS77" s="92"/>
      <c r="AT77" s="92"/>
      <c r="AU77" s="92"/>
      <c r="AV77" s="92"/>
      <c r="AW77" s="92"/>
      <c r="AX77" s="92"/>
      <c r="AY77" s="92"/>
      <c r="AZ77" s="92"/>
      <c r="BA77" s="92"/>
      <c r="BB77" s="92"/>
      <c r="BC77" s="92"/>
      <c r="BD77" s="92"/>
      <c r="BE77" s="92"/>
      <c r="BF77" s="92"/>
      <c r="BG77" s="92"/>
      <c r="BH77" s="92"/>
      <c r="BI77" s="92"/>
      <c r="BJ77" s="92"/>
      <c r="BK77" s="92"/>
      <c r="BL77" s="92">
        <v>529</v>
      </c>
      <c r="BM77" s="92"/>
      <c r="BN77" s="92"/>
      <c r="BO77" s="92"/>
      <c r="BP77" s="92"/>
      <c r="BQ77" s="92"/>
      <c r="BR77" s="92"/>
      <c r="BS77" s="92"/>
      <c r="BT77" s="92"/>
      <c r="BU77" s="92"/>
      <c r="BV77" s="92"/>
      <c r="BW77" s="92"/>
      <c r="BX77" s="92"/>
      <c r="BY77" s="92"/>
      <c r="BZ77" s="92"/>
      <c r="CA77" s="92"/>
      <c r="CB77" s="92"/>
      <c r="CC77" s="92"/>
      <c r="CD77" s="92"/>
      <c r="CE77" s="92"/>
      <c r="CF77" s="92"/>
      <c r="CG77" s="92"/>
      <c r="CH77" s="92"/>
    </row>
    <row r="78" spans="1:86" ht="12.75" x14ac:dyDescent="0.2">
      <c r="A78" s="92"/>
      <c r="B78" s="92" t="s">
        <v>1159</v>
      </c>
      <c r="C78" s="92"/>
      <c r="D78" s="92"/>
      <c r="E78" s="92">
        <v>2</v>
      </c>
      <c r="F78" s="92"/>
      <c r="G78" s="92">
        <v>20393</v>
      </c>
      <c r="H78" s="92">
        <v>101965</v>
      </c>
      <c r="I78" s="92"/>
      <c r="J78" s="92"/>
      <c r="K78" s="92"/>
      <c r="L78" s="92"/>
      <c r="M78" s="92"/>
      <c r="N78" s="92"/>
      <c r="O78" s="92">
        <v>7800</v>
      </c>
      <c r="P78" s="92">
        <v>6575</v>
      </c>
      <c r="Q78" s="92">
        <v>1420</v>
      </c>
      <c r="R78" s="92">
        <v>53</v>
      </c>
      <c r="S78" s="92">
        <v>634</v>
      </c>
      <c r="T78" s="92">
        <v>291</v>
      </c>
      <c r="U78" s="92"/>
      <c r="V78" s="92">
        <v>27</v>
      </c>
      <c r="W78" s="92">
        <v>54</v>
      </c>
      <c r="X78" s="92">
        <v>54</v>
      </c>
      <c r="Y78" s="92">
        <v>1886</v>
      </c>
      <c r="Z78" s="92">
        <v>72</v>
      </c>
      <c r="AA78" s="92">
        <v>72</v>
      </c>
      <c r="AB78" s="92">
        <v>1279</v>
      </c>
      <c r="AC78" s="92">
        <v>72</v>
      </c>
      <c r="AD78" s="92">
        <v>72</v>
      </c>
      <c r="AE78" s="92">
        <v>1950</v>
      </c>
      <c r="AF78" s="92"/>
      <c r="AG78" s="92"/>
      <c r="AH78" s="92"/>
      <c r="AI78" s="92"/>
      <c r="AJ78" s="92">
        <v>10846</v>
      </c>
      <c r="AK78" s="92">
        <v>19436</v>
      </c>
      <c r="AL78" s="92">
        <v>106</v>
      </c>
      <c r="AM78" s="92">
        <v>128</v>
      </c>
      <c r="AN78" s="92">
        <v>73</v>
      </c>
      <c r="AO78" s="92">
        <v>2</v>
      </c>
      <c r="AP78" s="92">
        <v>11</v>
      </c>
      <c r="AQ78" s="92">
        <v>0</v>
      </c>
      <c r="AR78" s="92"/>
      <c r="AS78" s="92"/>
      <c r="AT78" s="92">
        <f>SUM(AL78:AR78)</f>
        <v>320</v>
      </c>
      <c r="AU78" s="92"/>
      <c r="AV78" s="92"/>
      <c r="AW78" s="92"/>
      <c r="AX78" s="92">
        <v>65</v>
      </c>
      <c r="AY78" s="92">
        <v>19</v>
      </c>
      <c r="AZ78" s="92">
        <v>31</v>
      </c>
      <c r="BA78" s="92">
        <v>10</v>
      </c>
      <c r="BB78" s="92">
        <v>0</v>
      </c>
      <c r="BC78" s="92">
        <v>3</v>
      </c>
      <c r="BD78" s="92">
        <v>83</v>
      </c>
      <c r="BE78" s="92">
        <v>0</v>
      </c>
      <c r="BF78" s="92">
        <v>448</v>
      </c>
      <c r="BG78" s="92"/>
      <c r="BH78" s="92"/>
      <c r="BI78" s="92">
        <v>13</v>
      </c>
      <c r="BJ78" s="92">
        <v>15</v>
      </c>
      <c r="BK78" s="92"/>
      <c r="BL78" s="92">
        <v>687</v>
      </c>
      <c r="BM78" s="92">
        <v>45</v>
      </c>
      <c r="BN78" s="92"/>
      <c r="BO78" s="92">
        <v>29</v>
      </c>
      <c r="BP78" s="92">
        <v>1</v>
      </c>
      <c r="BQ78" s="92">
        <v>1</v>
      </c>
      <c r="BR78" s="92"/>
      <c r="BS78" s="92">
        <v>8</v>
      </c>
      <c r="BT78" s="92"/>
      <c r="BU78" s="92">
        <v>19</v>
      </c>
      <c r="BV78" s="92"/>
      <c r="BW78" s="92"/>
      <c r="BX78" s="92"/>
      <c r="BY78" s="92"/>
      <c r="BZ78" s="92"/>
      <c r="CA78" s="92"/>
      <c r="CB78" s="92"/>
      <c r="CC78" s="92"/>
      <c r="CD78" s="92"/>
      <c r="CE78" s="92"/>
      <c r="CF78" s="92"/>
      <c r="CG78" s="92"/>
      <c r="CH78" s="92"/>
    </row>
    <row r="79" spans="1:86" ht="12.75" x14ac:dyDescent="0.2">
      <c r="B79" s="116" t="s">
        <v>1160</v>
      </c>
      <c r="E79" s="27">
        <v>2</v>
      </c>
      <c r="G79" s="27">
        <v>1545</v>
      </c>
      <c r="H79" s="27">
        <v>7725</v>
      </c>
      <c r="O79" s="27">
        <v>650</v>
      </c>
      <c r="P79" s="27">
        <v>457</v>
      </c>
      <c r="Q79" s="27">
        <v>130</v>
      </c>
      <c r="R79" s="27">
        <v>8</v>
      </c>
      <c r="T79" s="27">
        <v>35</v>
      </c>
      <c r="V79" s="27">
        <v>4</v>
      </c>
      <c r="W79" s="27">
        <v>3</v>
      </c>
      <c r="X79" s="27">
        <v>3</v>
      </c>
      <c r="Y79" s="27">
        <v>102</v>
      </c>
      <c r="Z79" s="27">
        <v>3</v>
      </c>
      <c r="AA79" s="27">
        <v>3</v>
      </c>
      <c r="AB79" s="27">
        <v>114</v>
      </c>
      <c r="AC79" s="27">
        <v>6</v>
      </c>
      <c r="AD79" s="27">
        <v>6</v>
      </c>
      <c r="AE79" s="27">
        <v>112</v>
      </c>
      <c r="AK79" s="27">
        <v>1545</v>
      </c>
      <c r="AL79" s="27">
        <v>10</v>
      </c>
      <c r="AM79" s="27">
        <v>0</v>
      </c>
      <c r="AN79" s="27">
        <v>3</v>
      </c>
      <c r="AO79" s="27">
        <v>0</v>
      </c>
      <c r="AP79" s="27">
        <v>0</v>
      </c>
      <c r="AQ79" s="27">
        <v>0</v>
      </c>
      <c r="AX79" s="27">
        <v>4</v>
      </c>
      <c r="AY79" s="27">
        <v>24</v>
      </c>
      <c r="AZ79" s="27">
        <v>12</v>
      </c>
      <c r="BA79" s="27">
        <v>0</v>
      </c>
      <c r="BB79" s="27">
        <v>0</v>
      </c>
      <c r="BC79" s="27">
        <v>0</v>
      </c>
      <c r="BD79" s="27">
        <v>15</v>
      </c>
      <c r="BE79" s="27">
        <v>0</v>
      </c>
      <c r="BF79" s="27">
        <v>7</v>
      </c>
      <c r="BI79" s="27">
        <v>0</v>
      </c>
      <c r="BJ79" s="27">
        <v>0</v>
      </c>
      <c r="BM79" s="27">
        <v>6</v>
      </c>
    </row>
    <row r="80" spans="1:86" ht="12.75" x14ac:dyDescent="0.2">
      <c r="B80" s="117"/>
      <c r="E80" s="27">
        <v>2</v>
      </c>
      <c r="G80" s="27">
        <v>1118</v>
      </c>
      <c r="H80" s="27">
        <v>5590</v>
      </c>
      <c r="O80" s="27">
        <v>650</v>
      </c>
      <c r="P80" s="27">
        <v>407</v>
      </c>
      <c r="Q80" s="27">
        <v>125</v>
      </c>
      <c r="R80" s="27">
        <v>0</v>
      </c>
      <c r="T80" s="27">
        <v>29</v>
      </c>
      <c r="V80" s="27">
        <v>0</v>
      </c>
      <c r="W80" s="27">
        <v>3</v>
      </c>
      <c r="X80" s="27">
        <v>3</v>
      </c>
      <c r="Y80" s="27">
        <v>111</v>
      </c>
      <c r="Z80" s="27">
        <v>3</v>
      </c>
      <c r="AA80" s="27">
        <v>3</v>
      </c>
      <c r="AB80" s="27">
        <v>125</v>
      </c>
      <c r="AC80" s="27">
        <v>6</v>
      </c>
      <c r="AD80" s="27">
        <v>6</v>
      </c>
      <c r="AE80" s="27">
        <v>104</v>
      </c>
      <c r="AK80" s="27">
        <v>1118</v>
      </c>
      <c r="AL80" s="27">
        <v>2</v>
      </c>
      <c r="AM80" s="27">
        <v>22</v>
      </c>
      <c r="AN80" s="27">
        <v>22</v>
      </c>
      <c r="AO80" s="27">
        <v>0</v>
      </c>
      <c r="AP80" s="27">
        <v>0</v>
      </c>
      <c r="AQ80" s="27">
        <v>0</v>
      </c>
      <c r="AX80" s="27">
        <v>22</v>
      </c>
      <c r="AY80" s="27">
        <v>3</v>
      </c>
      <c r="AZ80" s="27">
        <v>10</v>
      </c>
      <c r="BA80" s="27">
        <v>0</v>
      </c>
      <c r="BB80" s="27">
        <v>0</v>
      </c>
      <c r="BC80" s="27">
        <v>0</v>
      </c>
      <c r="BD80" s="27">
        <v>85</v>
      </c>
      <c r="BE80" s="27">
        <v>0</v>
      </c>
      <c r="BF80" s="27">
        <v>20</v>
      </c>
      <c r="BI80" s="27">
        <v>0</v>
      </c>
      <c r="BJ80" s="27">
        <v>0</v>
      </c>
      <c r="BM80" s="27">
        <v>3</v>
      </c>
    </row>
    <row r="81" spans="2:86" ht="12.75" x14ac:dyDescent="0.2">
      <c r="B81" s="116" t="s">
        <v>1161</v>
      </c>
      <c r="E81" s="27">
        <v>2</v>
      </c>
      <c r="G81" s="27">
        <v>1360</v>
      </c>
      <c r="H81" s="27">
        <v>6800</v>
      </c>
      <c r="O81" s="27">
        <v>650</v>
      </c>
      <c r="P81" s="27">
        <v>335</v>
      </c>
      <c r="Q81" s="27">
        <v>109</v>
      </c>
      <c r="R81" s="27">
        <v>1</v>
      </c>
      <c r="T81" s="27">
        <v>22</v>
      </c>
      <c r="V81" s="27">
        <v>1</v>
      </c>
      <c r="W81" s="27">
        <v>3</v>
      </c>
      <c r="X81" s="27">
        <v>3</v>
      </c>
      <c r="Y81" s="27">
        <v>112</v>
      </c>
      <c r="Z81" s="27">
        <v>3</v>
      </c>
      <c r="AA81" s="27">
        <v>3</v>
      </c>
      <c r="AB81" s="27">
        <v>105</v>
      </c>
      <c r="AC81" s="27">
        <v>6</v>
      </c>
      <c r="AD81" s="27">
        <v>6</v>
      </c>
      <c r="AE81" s="27">
        <v>103</v>
      </c>
      <c r="AK81" s="27">
        <v>1360</v>
      </c>
      <c r="AL81" s="27">
        <v>0</v>
      </c>
      <c r="AM81" s="27">
        <v>1</v>
      </c>
      <c r="AN81" s="27">
        <v>2</v>
      </c>
      <c r="AO81" s="27">
        <v>0</v>
      </c>
      <c r="AP81" s="27">
        <v>0</v>
      </c>
      <c r="AQ81" s="27">
        <v>0</v>
      </c>
      <c r="AR81" s="27" t="s">
        <v>1162</v>
      </c>
      <c r="AX81" s="27">
        <v>0</v>
      </c>
      <c r="AY81" s="27">
        <v>0</v>
      </c>
      <c r="AZ81" s="27">
        <v>0</v>
      </c>
      <c r="BA81" s="27">
        <v>0</v>
      </c>
      <c r="BB81" s="27">
        <v>0</v>
      </c>
      <c r="BC81" s="27">
        <v>0</v>
      </c>
      <c r="BD81" s="27">
        <v>1</v>
      </c>
      <c r="BE81" s="27">
        <v>0</v>
      </c>
      <c r="BF81" s="27">
        <v>0</v>
      </c>
      <c r="BI81" s="27">
        <v>0</v>
      </c>
      <c r="BJ81" s="27">
        <v>0</v>
      </c>
      <c r="BM81" s="27">
        <v>4</v>
      </c>
    </row>
    <row r="82" spans="2:86" ht="12.75" x14ac:dyDescent="0.2">
      <c r="B82" s="117"/>
      <c r="E82" s="27">
        <v>2</v>
      </c>
      <c r="G82" s="27">
        <v>1298</v>
      </c>
      <c r="H82" s="27">
        <v>6490</v>
      </c>
      <c r="O82" s="27">
        <v>650</v>
      </c>
      <c r="P82" s="27">
        <v>388</v>
      </c>
      <c r="Q82" s="27">
        <v>118</v>
      </c>
      <c r="R82" s="27">
        <v>1</v>
      </c>
      <c r="T82" s="27">
        <v>26</v>
      </c>
      <c r="V82" s="27">
        <v>1</v>
      </c>
      <c r="W82" s="27">
        <v>3</v>
      </c>
      <c r="X82" s="27">
        <v>3</v>
      </c>
      <c r="Y82" s="27">
        <v>106</v>
      </c>
      <c r="Z82" s="27">
        <v>3</v>
      </c>
      <c r="AA82" s="27">
        <v>3</v>
      </c>
      <c r="AB82" s="27">
        <v>123</v>
      </c>
      <c r="AC82" s="27">
        <v>6</v>
      </c>
      <c r="AD82" s="27">
        <v>6</v>
      </c>
      <c r="AE82" s="27">
        <v>121</v>
      </c>
      <c r="AK82" s="27">
        <v>1298</v>
      </c>
      <c r="AL82" s="27">
        <v>4</v>
      </c>
      <c r="AM82" s="27">
        <v>37</v>
      </c>
      <c r="AN82" s="27">
        <v>32</v>
      </c>
      <c r="AO82" s="27">
        <v>0</v>
      </c>
      <c r="AP82" s="27">
        <v>0</v>
      </c>
      <c r="AQ82" s="27">
        <v>0</v>
      </c>
      <c r="AR82" s="27" t="s">
        <v>1163</v>
      </c>
      <c r="AX82" s="27">
        <v>0</v>
      </c>
      <c r="AY82" s="27">
        <v>0</v>
      </c>
      <c r="AZ82" s="27">
        <v>0</v>
      </c>
      <c r="BA82" s="27">
        <v>0</v>
      </c>
      <c r="BB82" s="27">
        <v>0</v>
      </c>
      <c r="BC82" s="27">
        <v>0</v>
      </c>
      <c r="BD82" s="27">
        <v>2</v>
      </c>
      <c r="BE82" s="27">
        <v>0</v>
      </c>
      <c r="BF82" s="27">
        <v>14</v>
      </c>
      <c r="BI82" s="27">
        <v>0</v>
      </c>
      <c r="BJ82" s="27">
        <v>0</v>
      </c>
      <c r="BM82" s="27">
        <v>4</v>
      </c>
      <c r="BO82" s="27">
        <v>2</v>
      </c>
      <c r="BS82" s="27" t="s">
        <v>1164</v>
      </c>
    </row>
    <row r="83" spans="2:86" ht="51" x14ac:dyDescent="0.2">
      <c r="B83" s="116" t="s">
        <v>1165</v>
      </c>
      <c r="E83" s="27">
        <v>2</v>
      </c>
      <c r="G83" s="27">
        <v>1052</v>
      </c>
      <c r="H83" s="27">
        <v>5260</v>
      </c>
      <c r="O83" s="27">
        <v>650</v>
      </c>
      <c r="P83" s="27">
        <v>200</v>
      </c>
      <c r="Q83" s="27">
        <v>55</v>
      </c>
      <c r="R83" s="27">
        <v>0</v>
      </c>
      <c r="T83" s="27">
        <v>20</v>
      </c>
      <c r="W83" s="27">
        <v>3</v>
      </c>
      <c r="X83" s="27">
        <v>1</v>
      </c>
      <c r="Y83" s="27">
        <v>14</v>
      </c>
      <c r="Z83" s="27">
        <v>3</v>
      </c>
      <c r="AA83" s="27">
        <v>2</v>
      </c>
      <c r="AB83" s="27">
        <v>16</v>
      </c>
      <c r="AC83" s="27">
        <v>6</v>
      </c>
      <c r="AD83" s="27">
        <v>1</v>
      </c>
      <c r="AE83" s="27">
        <v>10</v>
      </c>
      <c r="AK83" s="27">
        <v>1172</v>
      </c>
      <c r="AL83" s="27">
        <v>2</v>
      </c>
      <c r="AM83" s="27">
        <v>2</v>
      </c>
      <c r="AN83" s="27">
        <v>5</v>
      </c>
      <c r="AO83" s="27">
        <v>0</v>
      </c>
      <c r="AP83" s="27">
        <v>0</v>
      </c>
      <c r="AQ83" s="27">
        <v>0</v>
      </c>
      <c r="AR83" s="27">
        <v>0</v>
      </c>
      <c r="AX83" s="27">
        <v>1</v>
      </c>
      <c r="AY83" s="27">
        <v>0</v>
      </c>
      <c r="AZ83" s="27">
        <v>0</v>
      </c>
      <c r="BA83" s="27">
        <v>0</v>
      </c>
      <c r="BD83" s="27">
        <v>0</v>
      </c>
      <c r="BF83" s="27">
        <v>2</v>
      </c>
      <c r="BI83" s="27">
        <v>0</v>
      </c>
      <c r="BM83" s="27">
        <v>0</v>
      </c>
      <c r="BO83" s="27">
        <v>2</v>
      </c>
      <c r="BU83" s="27" t="s">
        <v>1166</v>
      </c>
      <c r="CF83" s="36" t="s">
        <v>1167</v>
      </c>
      <c r="CG83" s="27">
        <v>172</v>
      </c>
      <c r="CH83" s="27">
        <v>5810</v>
      </c>
    </row>
    <row r="84" spans="2:86" ht="25.5" x14ac:dyDescent="0.2">
      <c r="B84" s="117"/>
      <c r="E84" s="27">
        <v>2</v>
      </c>
      <c r="G84" s="27">
        <v>1695</v>
      </c>
      <c r="H84" s="27">
        <v>8475</v>
      </c>
      <c r="O84" s="27">
        <v>650</v>
      </c>
      <c r="P84" s="27">
        <v>210</v>
      </c>
      <c r="Q84" s="27">
        <v>45</v>
      </c>
      <c r="R84" s="27">
        <v>0</v>
      </c>
      <c r="T84" s="27">
        <v>22</v>
      </c>
      <c r="V84" s="27">
        <v>2</v>
      </c>
      <c r="W84" s="27">
        <v>3</v>
      </c>
      <c r="X84" s="27">
        <v>1</v>
      </c>
      <c r="Y84" s="27">
        <v>12</v>
      </c>
      <c r="Z84" s="27">
        <v>3</v>
      </c>
      <c r="AA84" s="27">
        <v>2</v>
      </c>
      <c r="AB84" s="27">
        <v>18</v>
      </c>
      <c r="AC84" s="27">
        <v>6</v>
      </c>
      <c r="AD84" s="27">
        <v>1</v>
      </c>
      <c r="AE84" s="27">
        <v>15</v>
      </c>
      <c r="AK84" s="27">
        <v>1890</v>
      </c>
      <c r="AL84" s="27">
        <v>13</v>
      </c>
      <c r="AM84" s="27">
        <v>35</v>
      </c>
      <c r="AN84" s="27">
        <v>48</v>
      </c>
      <c r="AO84" s="27">
        <v>0</v>
      </c>
      <c r="AP84" s="27">
        <v>0</v>
      </c>
      <c r="AQ84" s="27">
        <v>0</v>
      </c>
      <c r="AR84" s="27">
        <v>0</v>
      </c>
      <c r="AX84" s="27">
        <v>3</v>
      </c>
      <c r="AY84" s="27">
        <v>7</v>
      </c>
      <c r="AZ84" s="27">
        <v>0</v>
      </c>
      <c r="BD84" s="27">
        <v>0</v>
      </c>
      <c r="BF84" s="27">
        <v>11</v>
      </c>
      <c r="BI84" s="27">
        <v>1</v>
      </c>
      <c r="BM84" s="27">
        <v>4</v>
      </c>
      <c r="BO84" s="27">
        <v>4</v>
      </c>
      <c r="BP84" s="27">
        <v>1</v>
      </c>
      <c r="BU84" s="27" t="s">
        <v>1168</v>
      </c>
      <c r="CF84" s="36" t="s">
        <v>1169</v>
      </c>
      <c r="CG84" s="27">
        <v>218</v>
      </c>
      <c r="CH84" s="27">
        <v>2266</v>
      </c>
    </row>
    <row r="85" spans="2:86" ht="12.75" x14ac:dyDescent="0.2">
      <c r="G85" s="27">
        <v>8068</v>
      </c>
      <c r="H85" s="27">
        <v>40340</v>
      </c>
      <c r="O85" s="27">
        <v>3900</v>
      </c>
      <c r="P85" s="27">
        <v>1997</v>
      </c>
      <c r="Q85" s="27">
        <v>582</v>
      </c>
      <c r="T85" s="27">
        <v>154</v>
      </c>
      <c r="V85" s="27">
        <v>8</v>
      </c>
      <c r="W85" s="27">
        <v>18</v>
      </c>
      <c r="X85" s="27">
        <v>14</v>
      </c>
      <c r="Y85" s="27">
        <v>457</v>
      </c>
      <c r="Z85" s="27">
        <v>18</v>
      </c>
      <c r="AA85" s="27">
        <v>16</v>
      </c>
      <c r="AB85" s="27">
        <v>501</v>
      </c>
      <c r="AC85" s="27">
        <v>36</v>
      </c>
      <c r="AD85" s="27">
        <v>26</v>
      </c>
      <c r="AE85" s="27">
        <v>465</v>
      </c>
      <c r="AK85" s="27">
        <v>8383</v>
      </c>
      <c r="AL85" s="27">
        <v>31</v>
      </c>
      <c r="AM85" s="27">
        <v>97</v>
      </c>
      <c r="AN85" s="27">
        <v>112</v>
      </c>
      <c r="AO85" s="27">
        <v>0</v>
      </c>
      <c r="AP85" s="27">
        <v>0</v>
      </c>
      <c r="AQ85" s="27">
        <v>0</v>
      </c>
      <c r="AR85" s="27">
        <v>220</v>
      </c>
      <c r="AX85" s="27">
        <v>30</v>
      </c>
      <c r="AY85" s="27">
        <v>34</v>
      </c>
      <c r="AZ85" s="27">
        <v>22</v>
      </c>
      <c r="BA85" s="27">
        <v>0</v>
      </c>
      <c r="BD85" s="27">
        <v>103</v>
      </c>
      <c r="BF85" s="27">
        <v>54</v>
      </c>
      <c r="BI85" s="27">
        <v>1</v>
      </c>
      <c r="BM85" s="27">
        <v>21</v>
      </c>
      <c r="BO85" s="27">
        <v>8</v>
      </c>
      <c r="CG85" s="27">
        <v>390</v>
      </c>
      <c r="CH85" s="27">
        <v>8076</v>
      </c>
    </row>
    <row r="96" spans="2:86" ht="12.75" x14ac:dyDescent="0.2">
      <c r="G96" s="27" t="s">
        <v>1170</v>
      </c>
    </row>
  </sheetData>
  <mergeCells count="22">
    <mergeCell ref="B83:B84"/>
    <mergeCell ref="B55:B56"/>
    <mergeCell ref="B57:B58"/>
    <mergeCell ref="B59:B60"/>
    <mergeCell ref="C61:D62"/>
    <mergeCell ref="B64:B65"/>
    <mergeCell ref="B66:B67"/>
    <mergeCell ref="B68:B69"/>
    <mergeCell ref="B71:B72"/>
    <mergeCell ref="B73:B74"/>
    <mergeCell ref="B75:B76"/>
    <mergeCell ref="B79:B80"/>
    <mergeCell ref="B81:B82"/>
    <mergeCell ref="BV1:CD1"/>
    <mergeCell ref="CF1:CH1"/>
    <mergeCell ref="I1:K1"/>
    <mergeCell ref="L1:N1"/>
    <mergeCell ref="P1:V1"/>
    <mergeCell ref="X1:AK1"/>
    <mergeCell ref="AL1:AQ1"/>
    <mergeCell ref="AU1:BJ1"/>
    <mergeCell ref="BO1:BU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994"/>
  <sheetViews>
    <sheetView workbookViewId="0"/>
  </sheetViews>
  <sheetFormatPr defaultColWidth="12.5703125" defaultRowHeight="15.75" customHeight="1" x14ac:dyDescent="0.2"/>
  <cols>
    <col min="1" max="1" width="6.140625" customWidth="1"/>
    <col min="2" max="2" width="10.42578125" customWidth="1"/>
    <col min="5" max="5" width="21.5703125" customWidth="1"/>
    <col min="9" max="9" width="14" customWidth="1"/>
    <col min="11" max="11" width="22.5703125" customWidth="1"/>
  </cols>
  <sheetData>
    <row r="1" spans="1:17" ht="12.75" x14ac:dyDescent="0.2">
      <c r="A1" s="123" t="s">
        <v>1171</v>
      </c>
      <c r="B1" s="108"/>
      <c r="C1" s="108"/>
      <c r="D1" s="108"/>
      <c r="E1" s="108"/>
      <c r="F1" s="108"/>
      <c r="G1" s="108"/>
      <c r="H1" s="108"/>
      <c r="I1" s="108"/>
      <c r="J1" s="108"/>
      <c r="K1" s="108"/>
      <c r="L1" s="108"/>
      <c r="M1" s="108"/>
      <c r="N1" s="108"/>
      <c r="O1" s="108"/>
      <c r="P1" s="108"/>
      <c r="Q1" s="109"/>
    </row>
    <row r="2" spans="1:17" ht="12.75" x14ac:dyDescent="0.2">
      <c r="A2" s="124" t="s">
        <v>1172</v>
      </c>
      <c r="B2" s="119" t="s">
        <v>1173</v>
      </c>
      <c r="C2" s="119" t="s">
        <v>1014</v>
      </c>
      <c r="D2" s="122" t="s">
        <v>1016</v>
      </c>
      <c r="E2" s="125" t="s">
        <v>1174</v>
      </c>
      <c r="F2" s="119" t="s">
        <v>1175</v>
      </c>
      <c r="G2" s="119" t="s">
        <v>1176</v>
      </c>
      <c r="H2" s="119" t="s">
        <v>1177</v>
      </c>
      <c r="I2" s="122" t="s">
        <v>1178</v>
      </c>
      <c r="J2" s="122" t="s">
        <v>1179</v>
      </c>
      <c r="K2" s="122" t="s">
        <v>1180</v>
      </c>
      <c r="L2" s="122" t="s">
        <v>1181</v>
      </c>
      <c r="M2" s="122" t="s">
        <v>1182</v>
      </c>
      <c r="N2" s="122" t="s">
        <v>1183</v>
      </c>
      <c r="O2" s="122" t="s">
        <v>1184</v>
      </c>
      <c r="P2" s="122" t="s">
        <v>1185</v>
      </c>
      <c r="Q2" s="122" t="s">
        <v>1182</v>
      </c>
    </row>
    <row r="3" spans="1:17" ht="12.75" x14ac:dyDescent="0.2">
      <c r="A3" s="120"/>
      <c r="B3" s="120"/>
      <c r="C3" s="120"/>
      <c r="D3" s="120"/>
      <c r="E3" s="120"/>
      <c r="F3" s="120"/>
      <c r="G3" s="120"/>
      <c r="H3" s="120"/>
      <c r="I3" s="120"/>
      <c r="J3" s="120"/>
      <c r="K3" s="120"/>
      <c r="L3" s="120"/>
      <c r="M3" s="120"/>
      <c r="N3" s="120"/>
      <c r="O3" s="120"/>
      <c r="P3" s="120"/>
      <c r="Q3" s="120"/>
    </row>
    <row r="4" spans="1:17" ht="21" customHeight="1" x14ac:dyDescent="0.2">
      <c r="A4" s="121"/>
      <c r="B4" s="121"/>
      <c r="C4" s="121"/>
      <c r="D4" s="121"/>
      <c r="E4" s="121"/>
      <c r="F4" s="121"/>
      <c r="G4" s="121"/>
      <c r="H4" s="121"/>
      <c r="I4" s="121"/>
      <c r="J4" s="121"/>
      <c r="K4" s="121"/>
      <c r="L4" s="121"/>
      <c r="M4" s="121"/>
      <c r="N4" s="121"/>
      <c r="O4" s="121"/>
      <c r="P4" s="121"/>
      <c r="Q4" s="121"/>
    </row>
    <row r="5" spans="1:17" ht="25.5" x14ac:dyDescent="0.2">
      <c r="A5" s="27">
        <v>1</v>
      </c>
      <c r="B5" s="27">
        <v>2025</v>
      </c>
      <c r="C5" s="27" t="s">
        <v>1121</v>
      </c>
      <c r="D5" s="27" t="s">
        <v>1097</v>
      </c>
      <c r="E5" s="38" t="s">
        <v>405</v>
      </c>
      <c r="F5" s="27">
        <v>10</v>
      </c>
      <c r="J5" s="27" t="s">
        <v>251</v>
      </c>
      <c r="K5" s="36" t="s">
        <v>1186</v>
      </c>
      <c r="L5" s="27" t="s">
        <v>1187</v>
      </c>
      <c r="M5" s="27">
        <v>10</v>
      </c>
      <c r="N5" s="27"/>
    </row>
    <row r="6" spans="1:17" ht="25.5" x14ac:dyDescent="0.2">
      <c r="A6" s="27">
        <v>2</v>
      </c>
      <c r="B6" s="27">
        <v>2025</v>
      </c>
      <c r="C6" s="27" t="s">
        <v>1121</v>
      </c>
      <c r="D6" s="27" t="s">
        <v>1097</v>
      </c>
      <c r="E6" s="38" t="s">
        <v>426</v>
      </c>
      <c r="F6" s="27">
        <v>10</v>
      </c>
      <c r="J6" s="27" t="s">
        <v>251</v>
      </c>
      <c r="K6" s="36" t="s">
        <v>1186</v>
      </c>
      <c r="L6" s="27" t="s">
        <v>1188</v>
      </c>
      <c r="M6" s="27">
        <v>10</v>
      </c>
      <c r="N6" s="27"/>
    </row>
    <row r="7" spans="1:17" ht="25.5" x14ac:dyDescent="0.2">
      <c r="A7" s="27">
        <v>3</v>
      </c>
      <c r="B7" s="27">
        <v>2025</v>
      </c>
      <c r="C7" s="27" t="s">
        <v>1121</v>
      </c>
      <c r="D7" s="27" t="s">
        <v>1097</v>
      </c>
      <c r="E7" s="38" t="s">
        <v>436</v>
      </c>
      <c r="F7" s="27">
        <v>13</v>
      </c>
      <c r="J7" s="27" t="s">
        <v>251</v>
      </c>
      <c r="K7" s="36" t="s">
        <v>1186</v>
      </c>
      <c r="L7" s="27" t="s">
        <v>1187</v>
      </c>
      <c r="M7" s="27">
        <v>13</v>
      </c>
      <c r="N7" s="27"/>
    </row>
    <row r="8" spans="1:17" ht="25.5" x14ac:dyDescent="0.2">
      <c r="A8" s="27">
        <v>4</v>
      </c>
      <c r="B8" s="27">
        <v>2025</v>
      </c>
      <c r="C8" s="27" t="s">
        <v>1121</v>
      </c>
      <c r="D8" s="27" t="s">
        <v>1097</v>
      </c>
      <c r="E8" s="38" t="s">
        <v>443</v>
      </c>
      <c r="F8" s="27">
        <v>11</v>
      </c>
      <c r="J8" s="27" t="s">
        <v>251</v>
      </c>
      <c r="K8" s="36" t="s">
        <v>1186</v>
      </c>
      <c r="L8" s="27" t="s">
        <v>1189</v>
      </c>
      <c r="M8" s="27">
        <v>11</v>
      </c>
      <c r="N8" s="27"/>
    </row>
    <row r="9" spans="1:17" ht="25.5" x14ac:dyDescent="0.2">
      <c r="A9" s="27">
        <v>5</v>
      </c>
      <c r="B9" s="27">
        <v>2025</v>
      </c>
      <c r="C9" s="27" t="s">
        <v>1121</v>
      </c>
      <c r="D9" s="27" t="s">
        <v>1097</v>
      </c>
      <c r="E9" s="38" t="s">
        <v>460</v>
      </c>
      <c r="F9" s="27">
        <v>15</v>
      </c>
      <c r="J9" s="27" t="s">
        <v>251</v>
      </c>
      <c r="K9" s="36" t="s">
        <v>1186</v>
      </c>
      <c r="L9" s="27" t="s">
        <v>1189</v>
      </c>
      <c r="M9" s="27">
        <v>15</v>
      </c>
      <c r="N9" s="27"/>
    </row>
    <row r="10" spans="1:17" ht="25.5" x14ac:dyDescent="0.2">
      <c r="A10" s="27">
        <v>6</v>
      </c>
      <c r="B10" s="27">
        <v>2025</v>
      </c>
      <c r="C10" s="27" t="s">
        <v>1121</v>
      </c>
      <c r="D10" s="27" t="s">
        <v>1097</v>
      </c>
      <c r="E10" s="38" t="s">
        <v>470</v>
      </c>
      <c r="F10" s="27">
        <v>15</v>
      </c>
      <c r="J10" s="27" t="s">
        <v>251</v>
      </c>
      <c r="K10" s="36" t="s">
        <v>1186</v>
      </c>
      <c r="L10" s="27" t="s">
        <v>1190</v>
      </c>
      <c r="M10" s="27">
        <v>15</v>
      </c>
      <c r="N10" s="27"/>
    </row>
    <row r="11" spans="1:17" ht="25.5" x14ac:dyDescent="0.2">
      <c r="A11" s="27">
        <v>7</v>
      </c>
      <c r="B11" s="27">
        <v>2025</v>
      </c>
      <c r="C11" s="27" t="s">
        <v>1121</v>
      </c>
      <c r="D11" s="27" t="s">
        <v>1097</v>
      </c>
      <c r="E11" s="38" t="s">
        <v>479</v>
      </c>
      <c r="F11" s="27">
        <v>10</v>
      </c>
      <c r="J11" s="27" t="s">
        <v>251</v>
      </c>
      <c r="K11" s="36" t="s">
        <v>1186</v>
      </c>
      <c r="L11" s="27" t="s">
        <v>1189</v>
      </c>
      <c r="M11" s="27">
        <v>10</v>
      </c>
      <c r="N11" s="27"/>
    </row>
    <row r="12" spans="1:17" ht="25.5" x14ac:dyDescent="0.2">
      <c r="A12" s="27">
        <v>8</v>
      </c>
      <c r="B12" s="27">
        <v>2025</v>
      </c>
      <c r="C12" s="27" t="s">
        <v>1121</v>
      </c>
      <c r="D12" s="27" t="s">
        <v>1097</v>
      </c>
      <c r="E12" s="38" t="s">
        <v>485</v>
      </c>
      <c r="F12" s="27">
        <v>10</v>
      </c>
      <c r="J12" s="27" t="s">
        <v>251</v>
      </c>
      <c r="K12" s="36" t="s">
        <v>1186</v>
      </c>
      <c r="L12" s="27" t="s">
        <v>1191</v>
      </c>
      <c r="M12" s="27">
        <v>10</v>
      </c>
      <c r="N12" s="27"/>
    </row>
    <row r="13" spans="1:17" ht="25.5" x14ac:dyDescent="0.2">
      <c r="A13" s="27">
        <v>9</v>
      </c>
      <c r="B13" s="27">
        <v>2025</v>
      </c>
      <c r="C13" s="27" t="s">
        <v>1121</v>
      </c>
      <c r="D13" s="27" t="s">
        <v>1097</v>
      </c>
      <c r="E13" s="38" t="s">
        <v>892</v>
      </c>
      <c r="F13" s="27">
        <v>13</v>
      </c>
      <c r="J13" s="27" t="s">
        <v>251</v>
      </c>
      <c r="K13" s="36" t="s">
        <v>1186</v>
      </c>
      <c r="L13" s="27" t="s">
        <v>1192</v>
      </c>
      <c r="M13" s="27">
        <v>13</v>
      </c>
      <c r="N13" s="27"/>
    </row>
    <row r="14" spans="1:17" ht="25.5" x14ac:dyDescent="0.2">
      <c r="A14" s="27">
        <v>10</v>
      </c>
      <c r="B14" s="27">
        <v>2025</v>
      </c>
      <c r="C14" s="27" t="s">
        <v>1121</v>
      </c>
      <c r="D14" s="27" t="s">
        <v>1115</v>
      </c>
      <c r="E14" s="38" t="s">
        <v>504</v>
      </c>
      <c r="F14" s="27">
        <v>10</v>
      </c>
      <c r="J14" s="27" t="s">
        <v>251</v>
      </c>
      <c r="K14" s="36" t="s">
        <v>1186</v>
      </c>
      <c r="L14" s="27" t="s">
        <v>1193</v>
      </c>
      <c r="M14" s="27">
        <v>10</v>
      </c>
      <c r="N14" s="27"/>
    </row>
    <row r="15" spans="1:17" ht="25.5" x14ac:dyDescent="0.2">
      <c r="A15" s="27">
        <v>11</v>
      </c>
      <c r="B15" s="27">
        <v>2025</v>
      </c>
      <c r="C15" s="27" t="s">
        <v>1121</v>
      </c>
      <c r="D15" s="27" t="s">
        <v>1115</v>
      </c>
      <c r="E15" s="38" t="s">
        <v>509</v>
      </c>
      <c r="F15" s="27">
        <v>15</v>
      </c>
      <c r="J15" s="27" t="s">
        <v>251</v>
      </c>
      <c r="K15" s="36" t="s">
        <v>1186</v>
      </c>
      <c r="L15" s="27" t="s">
        <v>1194</v>
      </c>
      <c r="M15" s="27">
        <v>15</v>
      </c>
      <c r="N15" s="27"/>
    </row>
    <row r="16" spans="1:17" ht="25.5" x14ac:dyDescent="0.2">
      <c r="A16" s="27">
        <v>12</v>
      </c>
      <c r="B16" s="27">
        <v>2025</v>
      </c>
      <c r="C16" s="27" t="s">
        <v>1121</v>
      </c>
      <c r="D16" s="27" t="s">
        <v>1115</v>
      </c>
      <c r="E16" s="38" t="s">
        <v>519</v>
      </c>
      <c r="F16" s="27">
        <v>12</v>
      </c>
      <c r="J16" s="27" t="s">
        <v>251</v>
      </c>
      <c r="K16" s="36" t="s">
        <v>1186</v>
      </c>
      <c r="L16" s="27" t="s">
        <v>1194</v>
      </c>
      <c r="M16" s="27">
        <v>12</v>
      </c>
      <c r="N16" s="27"/>
    </row>
    <row r="17" spans="1:14" ht="25.5" x14ac:dyDescent="0.2">
      <c r="A17" s="27">
        <v>13</v>
      </c>
      <c r="B17" s="27">
        <v>2025</v>
      </c>
      <c r="C17" s="27" t="s">
        <v>1121</v>
      </c>
      <c r="D17" s="27" t="s">
        <v>1115</v>
      </c>
      <c r="E17" s="38" t="s">
        <v>528</v>
      </c>
      <c r="F17" s="27">
        <v>12</v>
      </c>
      <c r="J17" s="27" t="s">
        <v>251</v>
      </c>
      <c r="K17" s="36" t="s">
        <v>1186</v>
      </c>
      <c r="L17" s="27" t="s">
        <v>1188</v>
      </c>
      <c r="M17" s="27">
        <v>12</v>
      </c>
      <c r="N17" s="27"/>
    </row>
    <row r="18" spans="1:14" ht="25.5" x14ac:dyDescent="0.2">
      <c r="A18" s="27">
        <v>14</v>
      </c>
      <c r="B18" s="27">
        <v>2025</v>
      </c>
      <c r="C18" s="27" t="s">
        <v>1121</v>
      </c>
      <c r="D18" s="27" t="s">
        <v>1115</v>
      </c>
      <c r="E18" s="38" t="s">
        <v>536</v>
      </c>
      <c r="F18" s="27">
        <v>11</v>
      </c>
      <c r="J18" s="27" t="s">
        <v>251</v>
      </c>
      <c r="K18" s="36" t="s">
        <v>1186</v>
      </c>
      <c r="L18" s="27" t="s">
        <v>1188</v>
      </c>
      <c r="M18" s="27">
        <v>11</v>
      </c>
      <c r="N18" s="27"/>
    </row>
    <row r="19" spans="1:14" ht="25.5" x14ac:dyDescent="0.2">
      <c r="A19" s="27">
        <v>15</v>
      </c>
      <c r="B19" s="27">
        <v>2025</v>
      </c>
      <c r="C19" s="27" t="s">
        <v>1121</v>
      </c>
      <c r="D19" s="27" t="s">
        <v>1115</v>
      </c>
      <c r="E19" s="38" t="s">
        <v>542</v>
      </c>
      <c r="F19" s="27">
        <v>12</v>
      </c>
      <c r="J19" s="27" t="s">
        <v>251</v>
      </c>
      <c r="K19" s="36" t="s">
        <v>1186</v>
      </c>
      <c r="L19" s="27" t="s">
        <v>1195</v>
      </c>
      <c r="M19" s="27">
        <v>12</v>
      </c>
      <c r="N19" s="27"/>
    </row>
    <row r="20" spans="1:14" ht="25.5" x14ac:dyDescent="0.2">
      <c r="A20" s="27">
        <v>16</v>
      </c>
      <c r="B20" s="27">
        <v>2025</v>
      </c>
      <c r="C20" s="27" t="s">
        <v>1121</v>
      </c>
      <c r="D20" s="27" t="s">
        <v>1115</v>
      </c>
      <c r="E20" s="38" t="s">
        <v>545</v>
      </c>
      <c r="F20" s="27">
        <v>10</v>
      </c>
      <c r="J20" s="27" t="s">
        <v>251</v>
      </c>
      <c r="K20" s="36" t="s">
        <v>1186</v>
      </c>
      <c r="L20" s="27" t="s">
        <v>1195</v>
      </c>
      <c r="M20" s="27">
        <v>10</v>
      </c>
      <c r="N20" s="27"/>
    </row>
    <row r="21" spans="1:14" ht="25.5" x14ac:dyDescent="0.2">
      <c r="A21" s="27">
        <v>17</v>
      </c>
      <c r="B21" s="27">
        <v>2025</v>
      </c>
      <c r="C21" s="27" t="s">
        <v>1121</v>
      </c>
      <c r="D21" s="27" t="s">
        <v>1115</v>
      </c>
      <c r="E21" s="38" t="s">
        <v>560</v>
      </c>
      <c r="F21" s="27">
        <v>12</v>
      </c>
      <c r="J21" s="27" t="s">
        <v>251</v>
      </c>
      <c r="K21" s="36" t="s">
        <v>1186</v>
      </c>
      <c r="L21" s="27" t="s">
        <v>1196</v>
      </c>
      <c r="M21" s="27">
        <v>12</v>
      </c>
      <c r="N21" s="27"/>
    </row>
    <row r="22" spans="1:14" ht="25.5" x14ac:dyDescent="0.2">
      <c r="A22" s="27">
        <v>18</v>
      </c>
      <c r="B22" s="27">
        <v>2025</v>
      </c>
      <c r="C22" s="27" t="s">
        <v>1121</v>
      </c>
      <c r="D22" s="27" t="s">
        <v>1115</v>
      </c>
      <c r="E22" s="38" t="s">
        <v>564</v>
      </c>
      <c r="F22" s="27">
        <v>10</v>
      </c>
      <c r="J22" s="27" t="s">
        <v>251</v>
      </c>
      <c r="K22" s="36" t="s">
        <v>1186</v>
      </c>
      <c r="L22" s="27" t="s">
        <v>1197</v>
      </c>
      <c r="M22" s="27">
        <v>10</v>
      </c>
      <c r="N22" s="27"/>
    </row>
    <row r="23" spans="1:14" ht="12.75" x14ac:dyDescent="0.2">
      <c r="E23" s="38"/>
      <c r="J23" s="27"/>
      <c r="N23" s="27"/>
    </row>
    <row r="24" spans="1:14" ht="12.75" x14ac:dyDescent="0.2">
      <c r="A24" s="27">
        <v>1</v>
      </c>
      <c r="B24" s="27">
        <v>2025</v>
      </c>
      <c r="C24" s="27" t="s">
        <v>1148</v>
      </c>
      <c r="D24" s="27" t="s">
        <v>1097</v>
      </c>
      <c r="E24" s="38" t="s">
        <v>405</v>
      </c>
      <c r="F24" s="27">
        <v>10</v>
      </c>
      <c r="J24" s="27" t="s">
        <v>251</v>
      </c>
      <c r="K24" s="27" t="s">
        <v>1198</v>
      </c>
      <c r="L24" s="27" t="s">
        <v>1196</v>
      </c>
      <c r="M24" s="98">
        <v>10</v>
      </c>
      <c r="N24" s="27"/>
    </row>
    <row r="25" spans="1:14" ht="12.75" x14ac:dyDescent="0.2">
      <c r="A25" s="27">
        <v>2</v>
      </c>
      <c r="B25" s="27">
        <v>2025</v>
      </c>
      <c r="C25" s="27" t="s">
        <v>1148</v>
      </c>
      <c r="D25" s="27" t="s">
        <v>1097</v>
      </c>
      <c r="E25" s="38" t="s">
        <v>426</v>
      </c>
      <c r="F25" s="27">
        <v>10</v>
      </c>
      <c r="J25" s="27" t="s">
        <v>251</v>
      </c>
      <c r="K25" s="27" t="s">
        <v>1198</v>
      </c>
      <c r="L25" s="27" t="s">
        <v>1199</v>
      </c>
      <c r="M25" s="98">
        <v>10</v>
      </c>
      <c r="N25" s="27"/>
    </row>
    <row r="26" spans="1:14" ht="12.75" x14ac:dyDescent="0.2">
      <c r="A26" s="27">
        <v>3</v>
      </c>
      <c r="B26" s="27">
        <v>2025</v>
      </c>
      <c r="C26" s="27" t="s">
        <v>1148</v>
      </c>
      <c r="D26" s="27" t="s">
        <v>1097</v>
      </c>
      <c r="E26" s="38" t="s">
        <v>436</v>
      </c>
      <c r="F26" s="27">
        <v>13</v>
      </c>
      <c r="J26" s="27" t="s">
        <v>251</v>
      </c>
      <c r="K26" s="27" t="s">
        <v>1198</v>
      </c>
      <c r="L26" s="27" t="s">
        <v>1191</v>
      </c>
      <c r="M26" s="98">
        <v>13</v>
      </c>
      <c r="N26" s="27"/>
    </row>
    <row r="27" spans="1:14" ht="12.75" x14ac:dyDescent="0.2">
      <c r="A27" s="27">
        <v>4</v>
      </c>
      <c r="B27" s="27">
        <v>2025</v>
      </c>
      <c r="C27" s="27" t="s">
        <v>1148</v>
      </c>
      <c r="D27" s="27" t="s">
        <v>1097</v>
      </c>
      <c r="E27" s="38" t="s">
        <v>443</v>
      </c>
      <c r="F27" s="27">
        <v>11</v>
      </c>
      <c r="J27" s="27" t="s">
        <v>251</v>
      </c>
      <c r="K27" s="27" t="s">
        <v>1198</v>
      </c>
      <c r="L27" s="27" t="s">
        <v>1193</v>
      </c>
      <c r="M27" s="98">
        <v>11</v>
      </c>
      <c r="N27" s="27"/>
    </row>
    <row r="28" spans="1:14" ht="12.75" x14ac:dyDescent="0.2">
      <c r="A28" s="27">
        <v>5</v>
      </c>
      <c r="B28" s="27">
        <v>2025</v>
      </c>
      <c r="C28" s="27" t="s">
        <v>1148</v>
      </c>
      <c r="D28" s="27" t="s">
        <v>1097</v>
      </c>
      <c r="E28" s="38" t="s">
        <v>460</v>
      </c>
      <c r="F28" s="27">
        <v>15</v>
      </c>
      <c r="J28" s="27" t="s">
        <v>251</v>
      </c>
      <c r="K28" s="27" t="s">
        <v>1198</v>
      </c>
      <c r="L28" s="27" t="s">
        <v>1194</v>
      </c>
      <c r="M28" s="98">
        <v>15</v>
      </c>
      <c r="N28" s="27"/>
    </row>
    <row r="29" spans="1:14" ht="12.75" x14ac:dyDescent="0.2">
      <c r="A29" s="27">
        <v>6</v>
      </c>
      <c r="B29" s="27">
        <v>2025</v>
      </c>
      <c r="C29" s="27" t="s">
        <v>1148</v>
      </c>
      <c r="D29" s="27" t="s">
        <v>1097</v>
      </c>
      <c r="E29" s="38" t="s">
        <v>470</v>
      </c>
      <c r="F29" s="27">
        <v>15</v>
      </c>
      <c r="J29" s="27" t="s">
        <v>251</v>
      </c>
      <c r="K29" s="27" t="s">
        <v>1198</v>
      </c>
      <c r="L29" s="27" t="s">
        <v>1200</v>
      </c>
      <c r="M29" s="98">
        <v>15</v>
      </c>
      <c r="N29" s="27"/>
    </row>
    <row r="30" spans="1:14" ht="12.75" x14ac:dyDescent="0.2">
      <c r="A30" s="27">
        <v>7</v>
      </c>
      <c r="B30" s="27">
        <v>2025</v>
      </c>
      <c r="C30" s="27" t="s">
        <v>1148</v>
      </c>
      <c r="D30" s="27" t="s">
        <v>1097</v>
      </c>
      <c r="E30" s="38" t="s">
        <v>479</v>
      </c>
      <c r="F30" s="27">
        <v>10</v>
      </c>
      <c r="J30" s="27" t="s">
        <v>251</v>
      </c>
      <c r="K30" s="27" t="s">
        <v>1198</v>
      </c>
      <c r="L30" s="27" t="s">
        <v>1201</v>
      </c>
      <c r="M30" s="98">
        <v>10</v>
      </c>
      <c r="N30" s="27"/>
    </row>
    <row r="31" spans="1:14" ht="12.75" x14ac:dyDescent="0.2">
      <c r="A31" s="27">
        <v>8</v>
      </c>
      <c r="B31" s="27">
        <v>2025</v>
      </c>
      <c r="C31" s="27" t="s">
        <v>1148</v>
      </c>
      <c r="D31" s="27" t="s">
        <v>1097</v>
      </c>
      <c r="E31" s="38" t="s">
        <v>485</v>
      </c>
      <c r="F31" s="27">
        <v>10</v>
      </c>
      <c r="J31" s="27" t="s">
        <v>251</v>
      </c>
      <c r="K31" s="27" t="s">
        <v>1198</v>
      </c>
      <c r="L31" s="27" t="s">
        <v>1202</v>
      </c>
      <c r="M31" s="98">
        <v>10</v>
      </c>
      <c r="N31" s="27"/>
    </row>
    <row r="32" spans="1:14" ht="12.75" x14ac:dyDescent="0.2">
      <c r="A32" s="27">
        <v>9</v>
      </c>
      <c r="B32" s="27">
        <v>2025</v>
      </c>
      <c r="C32" s="27" t="s">
        <v>1148</v>
      </c>
      <c r="D32" s="27" t="s">
        <v>1097</v>
      </c>
      <c r="E32" s="38" t="s">
        <v>892</v>
      </c>
      <c r="F32" s="27">
        <v>13</v>
      </c>
      <c r="J32" s="27" t="s">
        <v>251</v>
      </c>
      <c r="K32" s="27" t="s">
        <v>1198</v>
      </c>
      <c r="L32" s="27" t="s">
        <v>1187</v>
      </c>
      <c r="M32" s="98">
        <v>13</v>
      </c>
      <c r="N32" s="27"/>
    </row>
    <row r="33" spans="1:14" ht="12.75" x14ac:dyDescent="0.2">
      <c r="A33" s="27"/>
      <c r="B33" s="27">
        <v>2025</v>
      </c>
      <c r="C33" s="27" t="s">
        <v>1148</v>
      </c>
      <c r="D33" s="27" t="s">
        <v>1097</v>
      </c>
      <c r="E33" s="38" t="s">
        <v>1203</v>
      </c>
      <c r="F33" s="27">
        <v>12</v>
      </c>
      <c r="J33" s="27" t="s">
        <v>251</v>
      </c>
      <c r="K33" s="27" t="s">
        <v>1198</v>
      </c>
      <c r="L33" s="27" t="s">
        <v>1188</v>
      </c>
      <c r="M33" s="98">
        <v>12</v>
      </c>
      <c r="N33" s="27"/>
    </row>
    <row r="34" spans="1:14" ht="12.75" x14ac:dyDescent="0.2">
      <c r="A34" s="27">
        <v>10</v>
      </c>
      <c r="B34" s="27">
        <v>2025</v>
      </c>
      <c r="C34" s="27" t="s">
        <v>1148</v>
      </c>
      <c r="D34" s="27" t="s">
        <v>1115</v>
      </c>
      <c r="E34" s="38" t="s">
        <v>504</v>
      </c>
      <c r="F34" s="27">
        <v>10</v>
      </c>
      <c r="J34" s="27" t="s">
        <v>251</v>
      </c>
      <c r="K34" s="27" t="s">
        <v>1198</v>
      </c>
      <c r="L34" s="27" t="s">
        <v>1195</v>
      </c>
      <c r="M34" s="98">
        <v>10</v>
      </c>
      <c r="N34" s="27"/>
    </row>
    <row r="35" spans="1:14" ht="12.75" x14ac:dyDescent="0.2">
      <c r="A35" s="27">
        <v>11</v>
      </c>
      <c r="B35" s="27">
        <v>2025</v>
      </c>
      <c r="C35" s="27" t="s">
        <v>1148</v>
      </c>
      <c r="D35" s="27" t="s">
        <v>1115</v>
      </c>
      <c r="E35" s="38" t="s">
        <v>509</v>
      </c>
      <c r="F35" s="27">
        <v>15</v>
      </c>
      <c r="J35" s="27" t="s">
        <v>251</v>
      </c>
      <c r="K35" s="27" t="s">
        <v>1198</v>
      </c>
      <c r="L35" s="27" t="s">
        <v>1187</v>
      </c>
      <c r="M35" s="98">
        <v>15</v>
      </c>
      <c r="N35" s="27"/>
    </row>
    <row r="36" spans="1:14" ht="12.75" x14ac:dyDescent="0.2">
      <c r="A36" s="27">
        <v>12</v>
      </c>
      <c r="B36" s="27">
        <v>2025</v>
      </c>
      <c r="C36" s="27" t="s">
        <v>1148</v>
      </c>
      <c r="D36" s="27" t="s">
        <v>1115</v>
      </c>
      <c r="E36" s="38" t="s">
        <v>519</v>
      </c>
      <c r="F36" s="27">
        <v>12</v>
      </c>
      <c r="J36" s="27" t="s">
        <v>251</v>
      </c>
      <c r="K36" s="27" t="s">
        <v>1198</v>
      </c>
      <c r="L36" s="27" t="s">
        <v>1200</v>
      </c>
      <c r="M36" s="98">
        <v>12</v>
      </c>
      <c r="N36" s="27"/>
    </row>
    <row r="37" spans="1:14" ht="12.75" x14ac:dyDescent="0.2">
      <c r="A37" s="27">
        <v>13</v>
      </c>
      <c r="B37" s="27">
        <v>2025</v>
      </c>
      <c r="C37" s="27" t="s">
        <v>1148</v>
      </c>
      <c r="D37" s="27" t="s">
        <v>1115</v>
      </c>
      <c r="E37" s="38" t="s">
        <v>528</v>
      </c>
      <c r="F37" s="27">
        <v>12</v>
      </c>
      <c r="J37" s="27" t="s">
        <v>251</v>
      </c>
      <c r="K37" s="27" t="s">
        <v>1198</v>
      </c>
      <c r="L37" s="27" t="s">
        <v>1195</v>
      </c>
      <c r="M37" s="98">
        <v>12</v>
      </c>
      <c r="N37" s="27"/>
    </row>
    <row r="38" spans="1:14" ht="12.75" x14ac:dyDescent="0.2">
      <c r="A38" s="27">
        <v>14</v>
      </c>
      <c r="B38" s="27">
        <v>2025</v>
      </c>
      <c r="C38" s="27" t="s">
        <v>1148</v>
      </c>
      <c r="D38" s="27" t="s">
        <v>1115</v>
      </c>
      <c r="E38" s="38" t="s">
        <v>536</v>
      </c>
      <c r="F38" s="27">
        <v>11</v>
      </c>
      <c r="J38" s="27" t="s">
        <v>251</v>
      </c>
      <c r="K38" s="27" t="s">
        <v>1198</v>
      </c>
      <c r="L38" s="27" t="s">
        <v>1194</v>
      </c>
      <c r="M38" s="98">
        <v>11</v>
      </c>
      <c r="N38" s="27"/>
    </row>
    <row r="39" spans="1:14" ht="12.75" x14ac:dyDescent="0.2">
      <c r="A39" s="27">
        <v>15</v>
      </c>
      <c r="B39" s="27">
        <v>2025</v>
      </c>
      <c r="C39" s="27" t="s">
        <v>1148</v>
      </c>
      <c r="D39" s="27" t="s">
        <v>1115</v>
      </c>
      <c r="E39" s="38" t="s">
        <v>542</v>
      </c>
      <c r="F39" s="27">
        <v>12</v>
      </c>
      <c r="J39" s="27" t="s">
        <v>251</v>
      </c>
      <c r="K39" s="27" t="s">
        <v>1198</v>
      </c>
      <c r="L39" s="27" t="s">
        <v>1193</v>
      </c>
      <c r="M39" s="98">
        <v>12</v>
      </c>
      <c r="N39" s="27"/>
    </row>
    <row r="40" spans="1:14" ht="12.75" x14ac:dyDescent="0.2">
      <c r="A40" s="27">
        <v>16</v>
      </c>
      <c r="B40" s="27">
        <v>2025</v>
      </c>
      <c r="C40" s="27" t="s">
        <v>1148</v>
      </c>
      <c r="D40" s="27" t="s">
        <v>1115</v>
      </c>
      <c r="E40" s="38" t="s">
        <v>545</v>
      </c>
      <c r="F40" s="27">
        <v>10</v>
      </c>
      <c r="J40" s="27" t="s">
        <v>251</v>
      </c>
      <c r="K40" s="27" t="s">
        <v>1198</v>
      </c>
      <c r="L40" s="27" t="s">
        <v>1204</v>
      </c>
      <c r="M40" s="98">
        <v>10</v>
      </c>
      <c r="N40" s="27"/>
    </row>
    <row r="41" spans="1:14" ht="12.75" x14ac:dyDescent="0.2">
      <c r="A41" s="27">
        <v>17</v>
      </c>
      <c r="B41" s="27">
        <v>2025</v>
      </c>
      <c r="C41" s="27" t="s">
        <v>1148</v>
      </c>
      <c r="D41" s="27" t="s">
        <v>1115</v>
      </c>
      <c r="E41" s="38" t="s">
        <v>560</v>
      </c>
      <c r="F41" s="27">
        <v>12</v>
      </c>
      <c r="J41" s="27" t="s">
        <v>251</v>
      </c>
      <c r="K41" s="27" t="s">
        <v>1198</v>
      </c>
      <c r="L41" s="27" t="s">
        <v>1205</v>
      </c>
      <c r="M41" s="98">
        <v>12</v>
      </c>
      <c r="N41" s="27"/>
    </row>
    <row r="42" spans="1:14" ht="12.75" x14ac:dyDescent="0.2">
      <c r="A42" s="27">
        <v>18</v>
      </c>
      <c r="B42" s="27">
        <v>2025</v>
      </c>
      <c r="C42" s="27" t="s">
        <v>1148</v>
      </c>
      <c r="D42" s="27" t="s">
        <v>1115</v>
      </c>
      <c r="E42" s="38" t="s">
        <v>564</v>
      </c>
      <c r="F42" s="27">
        <v>10</v>
      </c>
      <c r="J42" s="27" t="s">
        <v>251</v>
      </c>
      <c r="K42" s="27" t="s">
        <v>1198</v>
      </c>
      <c r="L42" s="27" t="s">
        <v>1205</v>
      </c>
      <c r="M42" s="98">
        <v>10</v>
      </c>
      <c r="N42" s="27"/>
    </row>
    <row r="43" spans="1:14" ht="12.75" x14ac:dyDescent="0.2">
      <c r="E43" s="38"/>
      <c r="J43" s="27"/>
      <c r="N43" s="27"/>
    </row>
    <row r="44" spans="1:14" ht="25.5" x14ac:dyDescent="0.2">
      <c r="A44" s="27">
        <v>1</v>
      </c>
      <c r="B44" s="27">
        <v>2025</v>
      </c>
      <c r="C44" s="27" t="s">
        <v>1151</v>
      </c>
      <c r="D44" s="27" t="s">
        <v>1097</v>
      </c>
      <c r="E44" s="38" t="s">
        <v>405</v>
      </c>
      <c r="F44" s="27">
        <v>10</v>
      </c>
      <c r="J44" s="27" t="s">
        <v>251</v>
      </c>
      <c r="K44" s="36" t="s">
        <v>1206</v>
      </c>
      <c r="L44" s="27" t="s">
        <v>1207</v>
      </c>
      <c r="M44" s="27">
        <v>10</v>
      </c>
      <c r="N44" s="27"/>
    </row>
    <row r="45" spans="1:14" ht="25.5" x14ac:dyDescent="0.2">
      <c r="A45" s="27">
        <v>2</v>
      </c>
      <c r="B45" s="27">
        <v>2025</v>
      </c>
      <c r="C45" s="27" t="s">
        <v>1151</v>
      </c>
      <c r="D45" s="27" t="s">
        <v>1097</v>
      </c>
      <c r="E45" s="38" t="s">
        <v>426</v>
      </c>
      <c r="F45" s="27">
        <v>10</v>
      </c>
      <c r="J45" s="27" t="s">
        <v>251</v>
      </c>
      <c r="K45" s="36" t="s">
        <v>1206</v>
      </c>
      <c r="L45" s="27" t="s">
        <v>1208</v>
      </c>
      <c r="M45" s="27">
        <v>10</v>
      </c>
      <c r="N45" s="27"/>
    </row>
    <row r="46" spans="1:14" ht="25.5" x14ac:dyDescent="0.2">
      <c r="A46" s="27">
        <v>3</v>
      </c>
      <c r="B46" s="27">
        <v>2025</v>
      </c>
      <c r="C46" s="27" t="s">
        <v>1151</v>
      </c>
      <c r="D46" s="27" t="s">
        <v>1097</v>
      </c>
      <c r="E46" s="38" t="s">
        <v>436</v>
      </c>
      <c r="F46" s="27">
        <v>13</v>
      </c>
      <c r="J46" s="27" t="s">
        <v>251</v>
      </c>
      <c r="K46" s="36" t="s">
        <v>1206</v>
      </c>
      <c r="L46" s="27" t="s">
        <v>1209</v>
      </c>
      <c r="M46" s="27">
        <v>13</v>
      </c>
      <c r="N46" s="27"/>
    </row>
    <row r="47" spans="1:14" ht="25.5" x14ac:dyDescent="0.2">
      <c r="A47" s="27">
        <v>4</v>
      </c>
      <c r="B47" s="27">
        <v>2025</v>
      </c>
      <c r="C47" s="27" t="s">
        <v>1151</v>
      </c>
      <c r="D47" s="27" t="s">
        <v>1097</v>
      </c>
      <c r="E47" s="38" t="s">
        <v>443</v>
      </c>
      <c r="F47" s="27">
        <v>11</v>
      </c>
      <c r="J47" s="27" t="s">
        <v>251</v>
      </c>
      <c r="K47" s="36" t="s">
        <v>1206</v>
      </c>
      <c r="L47" s="27" t="s">
        <v>980</v>
      </c>
      <c r="M47" s="27">
        <v>11</v>
      </c>
      <c r="N47" s="27"/>
    </row>
    <row r="48" spans="1:14" ht="25.5" x14ac:dyDescent="0.2">
      <c r="A48" s="27">
        <v>5</v>
      </c>
      <c r="B48" s="27">
        <v>2025</v>
      </c>
      <c r="C48" s="27" t="s">
        <v>1151</v>
      </c>
      <c r="D48" s="27" t="s">
        <v>1097</v>
      </c>
      <c r="E48" s="38" t="s">
        <v>460</v>
      </c>
      <c r="F48" s="27">
        <v>15</v>
      </c>
      <c r="J48" s="27" t="s">
        <v>251</v>
      </c>
      <c r="K48" s="36" t="s">
        <v>1206</v>
      </c>
      <c r="L48" s="27" t="s">
        <v>1210</v>
      </c>
      <c r="M48" s="27">
        <v>15</v>
      </c>
      <c r="N48" s="27"/>
    </row>
    <row r="49" spans="1:14" ht="25.5" x14ac:dyDescent="0.2">
      <c r="A49" s="27">
        <v>6</v>
      </c>
      <c r="B49" s="27">
        <v>2025</v>
      </c>
      <c r="C49" s="27" t="s">
        <v>1151</v>
      </c>
      <c r="D49" s="27" t="s">
        <v>1097</v>
      </c>
      <c r="E49" s="38" t="s">
        <v>470</v>
      </c>
      <c r="F49" s="27">
        <v>15</v>
      </c>
      <c r="J49" s="27" t="s">
        <v>251</v>
      </c>
      <c r="K49" s="36" t="s">
        <v>1206</v>
      </c>
      <c r="L49" s="27" t="s">
        <v>1191</v>
      </c>
      <c r="M49" s="27">
        <v>15</v>
      </c>
      <c r="N49" s="27"/>
    </row>
    <row r="50" spans="1:14" ht="25.5" x14ac:dyDescent="0.2">
      <c r="A50" s="27">
        <v>7</v>
      </c>
      <c r="B50" s="27">
        <v>2025</v>
      </c>
      <c r="C50" s="27" t="s">
        <v>1151</v>
      </c>
      <c r="D50" s="27" t="s">
        <v>1097</v>
      </c>
      <c r="E50" s="38" t="s">
        <v>479</v>
      </c>
      <c r="F50" s="27">
        <v>10</v>
      </c>
      <c r="J50" s="27" t="s">
        <v>251</v>
      </c>
      <c r="K50" s="36" t="s">
        <v>1206</v>
      </c>
      <c r="L50" s="27" t="s">
        <v>1189</v>
      </c>
      <c r="M50" s="27">
        <v>10</v>
      </c>
      <c r="N50" s="27"/>
    </row>
    <row r="51" spans="1:14" ht="25.5" x14ac:dyDescent="0.2">
      <c r="A51" s="27">
        <v>8</v>
      </c>
      <c r="B51" s="27">
        <v>2025</v>
      </c>
      <c r="C51" s="27" t="s">
        <v>1151</v>
      </c>
      <c r="D51" s="27" t="s">
        <v>1097</v>
      </c>
      <c r="E51" s="38" t="s">
        <v>485</v>
      </c>
      <c r="F51" s="27">
        <v>10</v>
      </c>
      <c r="J51" s="27" t="s">
        <v>251</v>
      </c>
      <c r="K51" s="36" t="s">
        <v>1206</v>
      </c>
      <c r="L51" s="27" t="s">
        <v>1197</v>
      </c>
      <c r="M51" s="27">
        <v>10</v>
      </c>
      <c r="N51" s="27"/>
    </row>
    <row r="52" spans="1:14" ht="25.5" x14ac:dyDescent="0.2">
      <c r="A52" s="27">
        <v>9</v>
      </c>
      <c r="B52" s="27">
        <v>2025</v>
      </c>
      <c r="C52" s="27" t="s">
        <v>1151</v>
      </c>
      <c r="D52" s="27" t="s">
        <v>1097</v>
      </c>
      <c r="E52" s="38" t="s">
        <v>892</v>
      </c>
      <c r="F52" s="27">
        <v>13</v>
      </c>
      <c r="J52" s="27" t="s">
        <v>251</v>
      </c>
      <c r="K52" s="36" t="s">
        <v>1206</v>
      </c>
      <c r="L52" s="27" t="s">
        <v>1201</v>
      </c>
      <c r="M52" s="27">
        <v>13</v>
      </c>
      <c r="N52" s="27"/>
    </row>
    <row r="53" spans="1:14" ht="25.5" x14ac:dyDescent="0.2">
      <c r="A53" s="27">
        <v>10</v>
      </c>
      <c r="B53" s="27">
        <v>2025</v>
      </c>
      <c r="C53" s="27" t="s">
        <v>1151</v>
      </c>
      <c r="D53" s="27" t="s">
        <v>1097</v>
      </c>
      <c r="E53" s="38" t="s">
        <v>1203</v>
      </c>
      <c r="F53" s="27">
        <v>12</v>
      </c>
      <c r="J53" s="27" t="s">
        <v>251</v>
      </c>
      <c r="K53" s="36" t="s">
        <v>1206</v>
      </c>
      <c r="L53" s="27" t="s">
        <v>1211</v>
      </c>
      <c r="M53" s="27">
        <v>12</v>
      </c>
      <c r="N53" s="27"/>
    </row>
    <row r="54" spans="1:14" ht="25.5" x14ac:dyDescent="0.2">
      <c r="A54" s="27">
        <v>11</v>
      </c>
      <c r="B54" s="27">
        <v>2025</v>
      </c>
      <c r="C54" s="27" t="s">
        <v>1151</v>
      </c>
      <c r="D54" s="27" t="s">
        <v>1115</v>
      </c>
      <c r="E54" s="38" t="s">
        <v>504</v>
      </c>
      <c r="F54" s="27">
        <v>10</v>
      </c>
      <c r="J54" s="27" t="s">
        <v>251</v>
      </c>
      <c r="K54" s="36" t="s">
        <v>1206</v>
      </c>
      <c r="L54" s="27" t="s">
        <v>1210</v>
      </c>
      <c r="M54" s="27">
        <v>10</v>
      </c>
      <c r="N54" s="27"/>
    </row>
    <row r="55" spans="1:14" ht="25.5" x14ac:dyDescent="0.2">
      <c r="A55" s="27">
        <v>12</v>
      </c>
      <c r="B55" s="27">
        <v>2025</v>
      </c>
      <c r="C55" s="27" t="s">
        <v>1151</v>
      </c>
      <c r="D55" s="27" t="s">
        <v>1115</v>
      </c>
      <c r="E55" s="38" t="s">
        <v>509</v>
      </c>
      <c r="F55" s="27">
        <v>15</v>
      </c>
      <c r="J55" s="27" t="s">
        <v>251</v>
      </c>
      <c r="K55" s="36" t="s">
        <v>1206</v>
      </c>
      <c r="L55" s="27" t="s">
        <v>1212</v>
      </c>
      <c r="M55" s="27">
        <v>15</v>
      </c>
      <c r="N55" s="27"/>
    </row>
    <row r="56" spans="1:14" ht="25.5" x14ac:dyDescent="0.2">
      <c r="A56" s="27">
        <v>13</v>
      </c>
      <c r="B56" s="27">
        <v>2025</v>
      </c>
      <c r="C56" s="27" t="s">
        <v>1151</v>
      </c>
      <c r="D56" s="27" t="s">
        <v>1115</v>
      </c>
      <c r="E56" s="38" t="s">
        <v>519</v>
      </c>
      <c r="F56" s="27">
        <v>12</v>
      </c>
      <c r="J56" s="27" t="s">
        <v>251</v>
      </c>
      <c r="K56" s="36" t="s">
        <v>1206</v>
      </c>
      <c r="L56" s="27" t="s">
        <v>1213</v>
      </c>
      <c r="M56" s="27">
        <v>12</v>
      </c>
      <c r="N56" s="27"/>
    </row>
    <row r="57" spans="1:14" ht="25.5" x14ac:dyDescent="0.2">
      <c r="A57" s="27">
        <v>14</v>
      </c>
      <c r="B57" s="27">
        <v>2025</v>
      </c>
      <c r="C57" s="27" t="s">
        <v>1151</v>
      </c>
      <c r="D57" s="27" t="s">
        <v>1115</v>
      </c>
      <c r="E57" s="38" t="s">
        <v>528</v>
      </c>
      <c r="F57" s="27">
        <v>12</v>
      </c>
      <c r="J57" s="27" t="s">
        <v>251</v>
      </c>
      <c r="K57" s="36" t="s">
        <v>1206</v>
      </c>
      <c r="L57" s="27" t="s">
        <v>1194</v>
      </c>
      <c r="M57" s="27">
        <v>12</v>
      </c>
      <c r="N57" s="27"/>
    </row>
    <row r="58" spans="1:14" ht="25.5" x14ac:dyDescent="0.2">
      <c r="A58" s="27">
        <v>15</v>
      </c>
      <c r="B58" s="27">
        <v>2025</v>
      </c>
      <c r="C58" s="27" t="s">
        <v>1151</v>
      </c>
      <c r="D58" s="27" t="s">
        <v>1115</v>
      </c>
      <c r="E58" s="38" t="s">
        <v>536</v>
      </c>
      <c r="F58" s="27">
        <v>11</v>
      </c>
      <c r="J58" s="27" t="s">
        <v>251</v>
      </c>
      <c r="K58" s="36" t="s">
        <v>1206</v>
      </c>
      <c r="L58" s="27" t="s">
        <v>1194</v>
      </c>
      <c r="M58" s="27">
        <v>11</v>
      </c>
      <c r="N58" s="27"/>
    </row>
    <row r="59" spans="1:14" ht="25.5" x14ac:dyDescent="0.2">
      <c r="A59" s="27">
        <v>16</v>
      </c>
      <c r="B59" s="27">
        <v>2025</v>
      </c>
      <c r="C59" s="27" t="s">
        <v>1151</v>
      </c>
      <c r="D59" s="27" t="s">
        <v>1115</v>
      </c>
      <c r="E59" s="38" t="s">
        <v>542</v>
      </c>
      <c r="F59" s="27">
        <v>12</v>
      </c>
      <c r="J59" s="27" t="s">
        <v>251</v>
      </c>
      <c r="K59" s="36" t="s">
        <v>1206</v>
      </c>
      <c r="L59" s="27" t="s">
        <v>1210</v>
      </c>
      <c r="M59" s="27">
        <v>12</v>
      </c>
      <c r="N59" s="27"/>
    </row>
    <row r="60" spans="1:14" ht="25.5" x14ac:dyDescent="0.2">
      <c r="A60" s="27">
        <v>17</v>
      </c>
      <c r="B60" s="27">
        <v>2025</v>
      </c>
      <c r="C60" s="27" t="s">
        <v>1151</v>
      </c>
      <c r="D60" s="27" t="s">
        <v>1115</v>
      </c>
      <c r="E60" s="38" t="s">
        <v>545</v>
      </c>
      <c r="F60" s="27">
        <v>10</v>
      </c>
      <c r="J60" s="27" t="s">
        <v>251</v>
      </c>
      <c r="K60" s="36" t="s">
        <v>1206</v>
      </c>
      <c r="L60" s="27" t="s">
        <v>1214</v>
      </c>
      <c r="M60" s="27">
        <v>10</v>
      </c>
      <c r="N60" s="27"/>
    </row>
    <row r="61" spans="1:14" ht="25.5" x14ac:dyDescent="0.2">
      <c r="A61" s="27">
        <v>18</v>
      </c>
      <c r="B61" s="27">
        <v>2025</v>
      </c>
      <c r="C61" s="27" t="s">
        <v>1151</v>
      </c>
      <c r="D61" s="27" t="s">
        <v>1115</v>
      </c>
      <c r="E61" s="38" t="s">
        <v>560</v>
      </c>
      <c r="F61" s="27">
        <v>12</v>
      </c>
      <c r="J61" s="27" t="s">
        <v>251</v>
      </c>
      <c r="K61" s="36" t="s">
        <v>1206</v>
      </c>
      <c r="L61" s="27" t="s">
        <v>1201</v>
      </c>
      <c r="M61" s="27">
        <v>12</v>
      </c>
      <c r="N61" s="27"/>
    </row>
    <row r="62" spans="1:14" ht="25.5" x14ac:dyDescent="0.2">
      <c r="A62" s="27">
        <v>19</v>
      </c>
      <c r="B62" s="27">
        <v>2025</v>
      </c>
      <c r="C62" s="27" t="s">
        <v>1151</v>
      </c>
      <c r="D62" s="27" t="s">
        <v>1115</v>
      </c>
      <c r="E62" s="38" t="s">
        <v>564</v>
      </c>
      <c r="F62" s="27">
        <v>10</v>
      </c>
      <c r="J62" s="27" t="s">
        <v>251</v>
      </c>
      <c r="K62" s="36" t="s">
        <v>1206</v>
      </c>
      <c r="L62" s="27" t="s">
        <v>1211</v>
      </c>
      <c r="M62" s="27">
        <v>10</v>
      </c>
      <c r="N62" s="27"/>
    </row>
    <row r="63" spans="1:14" ht="25.5" x14ac:dyDescent="0.2">
      <c r="A63" s="27">
        <v>20</v>
      </c>
      <c r="B63" s="27">
        <v>2025</v>
      </c>
      <c r="C63" s="27" t="s">
        <v>1125</v>
      </c>
      <c r="D63" s="27" t="s">
        <v>1115</v>
      </c>
      <c r="E63" s="38" t="s">
        <v>1215</v>
      </c>
      <c r="F63" s="27">
        <v>10</v>
      </c>
      <c r="K63" s="36" t="s">
        <v>1206</v>
      </c>
      <c r="L63" s="27" t="s">
        <v>1213</v>
      </c>
      <c r="M63" s="27">
        <v>10</v>
      </c>
      <c r="N63" s="27"/>
    </row>
    <row r="64" spans="1:14" ht="12.75" x14ac:dyDescent="0.2">
      <c r="A64" s="27">
        <v>1</v>
      </c>
      <c r="B64" s="27">
        <v>2025</v>
      </c>
      <c r="C64" s="27" t="s">
        <v>1216</v>
      </c>
      <c r="D64" s="27" t="s">
        <v>1097</v>
      </c>
      <c r="E64" s="38" t="s">
        <v>405</v>
      </c>
      <c r="F64" s="27">
        <v>10</v>
      </c>
      <c r="J64" s="27" t="s">
        <v>251</v>
      </c>
      <c r="K64" s="27" t="s">
        <v>1217</v>
      </c>
      <c r="L64" s="27" t="s">
        <v>1208</v>
      </c>
      <c r="M64" s="27">
        <v>10</v>
      </c>
      <c r="N64" s="27"/>
    </row>
    <row r="65" spans="1:14" ht="12.75" x14ac:dyDescent="0.2">
      <c r="A65" s="27">
        <v>2</v>
      </c>
      <c r="B65" s="27">
        <v>2025</v>
      </c>
      <c r="C65" s="27" t="s">
        <v>1216</v>
      </c>
      <c r="D65" s="27" t="s">
        <v>1097</v>
      </c>
      <c r="E65" s="38" t="s">
        <v>426</v>
      </c>
      <c r="F65" s="27">
        <v>10</v>
      </c>
      <c r="J65" s="27" t="s">
        <v>251</v>
      </c>
      <c r="K65" s="27" t="s">
        <v>1217</v>
      </c>
      <c r="L65" s="27" t="s">
        <v>1200</v>
      </c>
      <c r="M65" s="27">
        <v>10</v>
      </c>
      <c r="N65" s="27"/>
    </row>
    <row r="66" spans="1:14" ht="12.75" x14ac:dyDescent="0.2">
      <c r="A66" s="27">
        <v>3</v>
      </c>
      <c r="B66" s="27">
        <v>2025</v>
      </c>
      <c r="C66" s="27" t="s">
        <v>1216</v>
      </c>
      <c r="D66" s="27" t="s">
        <v>1097</v>
      </c>
      <c r="E66" s="38" t="s">
        <v>436</v>
      </c>
      <c r="F66" s="27">
        <v>13</v>
      </c>
      <c r="J66" s="27" t="s">
        <v>251</v>
      </c>
      <c r="K66" s="27" t="s">
        <v>1217</v>
      </c>
      <c r="L66" s="27" t="s">
        <v>1197</v>
      </c>
      <c r="M66" s="27">
        <v>13</v>
      </c>
      <c r="N66" s="27"/>
    </row>
    <row r="67" spans="1:14" ht="12.75" x14ac:dyDescent="0.2">
      <c r="A67" s="27">
        <v>4</v>
      </c>
      <c r="B67" s="27">
        <v>2025</v>
      </c>
      <c r="C67" s="27" t="s">
        <v>1216</v>
      </c>
      <c r="D67" s="27" t="s">
        <v>1097</v>
      </c>
      <c r="E67" s="38" t="s">
        <v>443</v>
      </c>
      <c r="F67" s="27">
        <v>11</v>
      </c>
      <c r="J67" s="27" t="s">
        <v>251</v>
      </c>
      <c r="K67" s="27" t="s">
        <v>1217</v>
      </c>
      <c r="L67" s="27" t="s">
        <v>1218</v>
      </c>
      <c r="M67" s="27">
        <v>11</v>
      </c>
      <c r="N67" s="27"/>
    </row>
    <row r="68" spans="1:14" ht="12.75" x14ac:dyDescent="0.2">
      <c r="A68" s="27">
        <v>5</v>
      </c>
      <c r="B68" s="27">
        <v>2025</v>
      </c>
      <c r="C68" s="27" t="s">
        <v>1216</v>
      </c>
      <c r="D68" s="27" t="s">
        <v>1097</v>
      </c>
      <c r="E68" s="38" t="s">
        <v>460</v>
      </c>
      <c r="F68" s="27">
        <v>15</v>
      </c>
      <c r="J68" s="27" t="s">
        <v>251</v>
      </c>
      <c r="K68" s="27" t="s">
        <v>1217</v>
      </c>
      <c r="L68" s="27" t="s">
        <v>1207</v>
      </c>
      <c r="M68" s="27">
        <v>15</v>
      </c>
    </row>
    <row r="69" spans="1:14" ht="12.75" x14ac:dyDescent="0.2">
      <c r="A69" s="27">
        <v>6</v>
      </c>
      <c r="B69" s="27">
        <v>2025</v>
      </c>
      <c r="C69" s="27" t="s">
        <v>1216</v>
      </c>
      <c r="D69" s="27" t="s">
        <v>1097</v>
      </c>
      <c r="E69" s="38" t="s">
        <v>470</v>
      </c>
      <c r="F69" s="27">
        <v>15</v>
      </c>
      <c r="J69" s="27" t="s">
        <v>251</v>
      </c>
      <c r="K69" s="27" t="s">
        <v>1217</v>
      </c>
      <c r="L69" s="27" t="s">
        <v>1219</v>
      </c>
      <c r="M69" s="27">
        <v>15</v>
      </c>
    </row>
    <row r="70" spans="1:14" ht="12.75" x14ac:dyDescent="0.2">
      <c r="A70" s="27">
        <v>7</v>
      </c>
      <c r="B70" s="27">
        <v>2025</v>
      </c>
      <c r="C70" s="27" t="s">
        <v>1216</v>
      </c>
      <c r="D70" s="27" t="s">
        <v>1097</v>
      </c>
      <c r="E70" s="38" t="s">
        <v>479</v>
      </c>
      <c r="F70" s="27">
        <v>10</v>
      </c>
      <c r="J70" s="27" t="s">
        <v>251</v>
      </c>
      <c r="K70" s="27" t="s">
        <v>1217</v>
      </c>
      <c r="L70" s="27" t="s">
        <v>1220</v>
      </c>
      <c r="M70" s="27">
        <v>10</v>
      </c>
    </row>
    <row r="71" spans="1:14" ht="12.75" x14ac:dyDescent="0.2">
      <c r="A71" s="27">
        <v>8</v>
      </c>
      <c r="B71" s="27">
        <v>2025</v>
      </c>
      <c r="C71" s="27" t="s">
        <v>1216</v>
      </c>
      <c r="D71" s="27" t="s">
        <v>1097</v>
      </c>
      <c r="E71" s="38" t="s">
        <v>485</v>
      </c>
      <c r="F71" s="27">
        <v>10</v>
      </c>
      <c r="J71" s="27" t="s">
        <v>251</v>
      </c>
      <c r="K71" s="27" t="s">
        <v>1217</v>
      </c>
      <c r="L71" s="27" t="s">
        <v>1221</v>
      </c>
      <c r="M71" s="27">
        <v>10</v>
      </c>
    </row>
    <row r="72" spans="1:14" ht="12.75" x14ac:dyDescent="0.2">
      <c r="A72" s="27">
        <v>9</v>
      </c>
      <c r="B72" s="27">
        <v>2025</v>
      </c>
      <c r="C72" s="27" t="s">
        <v>1216</v>
      </c>
      <c r="D72" s="27" t="s">
        <v>1097</v>
      </c>
      <c r="E72" s="38" t="s">
        <v>892</v>
      </c>
      <c r="F72" s="27">
        <v>13</v>
      </c>
      <c r="J72" s="27" t="s">
        <v>251</v>
      </c>
      <c r="K72" s="27" t="s">
        <v>1217</v>
      </c>
      <c r="L72" s="27" t="s">
        <v>1189</v>
      </c>
      <c r="M72" s="27">
        <v>13</v>
      </c>
    </row>
    <row r="73" spans="1:14" ht="12.75" x14ac:dyDescent="0.2">
      <c r="A73" s="27">
        <v>10</v>
      </c>
      <c r="B73" s="27">
        <v>2025</v>
      </c>
      <c r="C73" s="27" t="s">
        <v>1216</v>
      </c>
      <c r="D73" s="27" t="s">
        <v>1097</v>
      </c>
      <c r="E73" s="38" t="s">
        <v>1203</v>
      </c>
      <c r="F73" s="27">
        <v>12</v>
      </c>
      <c r="J73" s="27" t="s">
        <v>251</v>
      </c>
      <c r="K73" s="27" t="s">
        <v>1217</v>
      </c>
      <c r="L73" s="27" t="s">
        <v>1187</v>
      </c>
      <c r="M73" s="27">
        <v>12</v>
      </c>
    </row>
    <row r="74" spans="1:14" ht="12.75" x14ac:dyDescent="0.2">
      <c r="A74" s="27">
        <v>11</v>
      </c>
      <c r="B74" s="27">
        <v>2025</v>
      </c>
      <c r="C74" s="27" t="s">
        <v>1222</v>
      </c>
      <c r="D74" s="27" t="s">
        <v>1115</v>
      </c>
      <c r="E74" s="38" t="s">
        <v>504</v>
      </c>
      <c r="F74" s="27">
        <v>10</v>
      </c>
      <c r="J74" s="27" t="s">
        <v>251</v>
      </c>
      <c r="K74" s="27" t="s">
        <v>1217</v>
      </c>
      <c r="L74" s="27" t="s">
        <v>1189</v>
      </c>
      <c r="M74" s="27">
        <v>10</v>
      </c>
    </row>
    <row r="75" spans="1:14" ht="12.75" x14ac:dyDescent="0.2">
      <c r="A75" s="27">
        <v>12</v>
      </c>
      <c r="B75" s="27">
        <v>2025</v>
      </c>
      <c r="C75" s="27" t="s">
        <v>1222</v>
      </c>
      <c r="D75" s="27" t="s">
        <v>1115</v>
      </c>
      <c r="E75" s="38" t="s">
        <v>509</v>
      </c>
      <c r="F75" s="27">
        <v>15</v>
      </c>
      <c r="J75" s="27" t="s">
        <v>251</v>
      </c>
      <c r="K75" s="27" t="s">
        <v>1217</v>
      </c>
      <c r="L75" s="27" t="s">
        <v>1214</v>
      </c>
      <c r="M75" s="27">
        <v>15</v>
      </c>
    </row>
    <row r="76" spans="1:14" ht="12.75" x14ac:dyDescent="0.2">
      <c r="A76" s="27">
        <v>13</v>
      </c>
      <c r="B76" s="27">
        <v>2025</v>
      </c>
      <c r="C76" s="27" t="s">
        <v>1222</v>
      </c>
      <c r="D76" s="27" t="s">
        <v>1115</v>
      </c>
      <c r="E76" s="38" t="s">
        <v>519</v>
      </c>
      <c r="F76" s="27">
        <v>12</v>
      </c>
      <c r="J76" s="27" t="s">
        <v>251</v>
      </c>
      <c r="K76" s="27" t="s">
        <v>1217</v>
      </c>
      <c r="L76" s="27" t="s">
        <v>1189</v>
      </c>
      <c r="M76" s="27">
        <v>12</v>
      </c>
    </row>
    <row r="77" spans="1:14" ht="12.75" x14ac:dyDescent="0.2">
      <c r="A77" s="27">
        <v>14</v>
      </c>
      <c r="B77" s="27">
        <v>2025</v>
      </c>
      <c r="C77" s="27" t="s">
        <v>1222</v>
      </c>
      <c r="D77" s="27" t="s">
        <v>1115</v>
      </c>
      <c r="E77" s="38" t="s">
        <v>528</v>
      </c>
      <c r="F77" s="27">
        <v>12</v>
      </c>
      <c r="J77" s="27" t="s">
        <v>251</v>
      </c>
      <c r="K77" s="27" t="s">
        <v>1217</v>
      </c>
      <c r="L77" s="27" t="s">
        <v>1223</v>
      </c>
      <c r="M77" s="27">
        <v>12</v>
      </c>
    </row>
    <row r="78" spans="1:14" ht="12.75" x14ac:dyDescent="0.2">
      <c r="A78" s="27">
        <v>15</v>
      </c>
      <c r="B78" s="27">
        <v>2025</v>
      </c>
      <c r="C78" s="27" t="s">
        <v>1222</v>
      </c>
      <c r="D78" s="27" t="s">
        <v>1115</v>
      </c>
      <c r="E78" s="38" t="s">
        <v>536</v>
      </c>
      <c r="F78" s="27">
        <v>11</v>
      </c>
      <c r="J78" s="27" t="s">
        <v>251</v>
      </c>
      <c r="K78" s="27" t="s">
        <v>1217</v>
      </c>
      <c r="L78" s="27" t="s">
        <v>1189</v>
      </c>
      <c r="M78" s="27">
        <v>11</v>
      </c>
    </row>
    <row r="79" spans="1:14" ht="12.75" x14ac:dyDescent="0.2">
      <c r="A79" s="27">
        <v>16</v>
      </c>
      <c r="B79" s="27">
        <v>2025</v>
      </c>
      <c r="C79" s="27" t="s">
        <v>1222</v>
      </c>
      <c r="D79" s="27" t="s">
        <v>1115</v>
      </c>
      <c r="E79" s="38" t="s">
        <v>542</v>
      </c>
      <c r="F79" s="27">
        <v>12</v>
      </c>
      <c r="J79" s="27" t="s">
        <v>251</v>
      </c>
      <c r="K79" s="27" t="s">
        <v>1217</v>
      </c>
      <c r="L79" s="27" t="s">
        <v>1223</v>
      </c>
      <c r="M79" s="27">
        <v>12</v>
      </c>
    </row>
    <row r="80" spans="1:14" ht="12.75" x14ac:dyDescent="0.2">
      <c r="A80" s="27">
        <v>17</v>
      </c>
      <c r="B80" s="27">
        <v>2025</v>
      </c>
      <c r="C80" s="27" t="s">
        <v>1222</v>
      </c>
      <c r="D80" s="27" t="s">
        <v>1115</v>
      </c>
      <c r="E80" s="38" t="s">
        <v>545</v>
      </c>
      <c r="F80" s="27">
        <v>10</v>
      </c>
      <c r="J80" s="27" t="s">
        <v>251</v>
      </c>
      <c r="K80" s="27" t="s">
        <v>1217</v>
      </c>
      <c r="L80" s="27" t="s">
        <v>1194</v>
      </c>
      <c r="M80" s="27">
        <v>10</v>
      </c>
    </row>
    <row r="81" spans="1:13" ht="12.75" x14ac:dyDescent="0.2">
      <c r="A81" s="27">
        <v>18</v>
      </c>
      <c r="B81" s="27">
        <v>2025</v>
      </c>
      <c r="C81" s="27" t="s">
        <v>1222</v>
      </c>
      <c r="D81" s="27" t="s">
        <v>1115</v>
      </c>
      <c r="E81" s="38" t="s">
        <v>560</v>
      </c>
      <c r="F81" s="27">
        <v>12</v>
      </c>
      <c r="J81" s="27" t="s">
        <v>251</v>
      </c>
      <c r="K81" s="27" t="s">
        <v>1217</v>
      </c>
      <c r="L81" s="27" t="s">
        <v>1224</v>
      </c>
      <c r="M81" s="27">
        <v>12</v>
      </c>
    </row>
    <row r="82" spans="1:13" ht="12.75" x14ac:dyDescent="0.2">
      <c r="A82" s="27">
        <v>19</v>
      </c>
      <c r="B82" s="27">
        <v>2025</v>
      </c>
      <c r="C82" s="27" t="s">
        <v>1222</v>
      </c>
      <c r="D82" s="27" t="s">
        <v>1115</v>
      </c>
      <c r="E82" s="38" t="s">
        <v>564</v>
      </c>
      <c r="F82" s="27">
        <v>10</v>
      </c>
      <c r="J82" s="27" t="s">
        <v>251</v>
      </c>
      <c r="K82" s="27" t="s">
        <v>1217</v>
      </c>
      <c r="L82" s="27" t="s">
        <v>1224</v>
      </c>
      <c r="M82" s="27">
        <v>10</v>
      </c>
    </row>
    <row r="83" spans="1:13" ht="12.75" x14ac:dyDescent="0.2">
      <c r="A83" s="27">
        <v>1</v>
      </c>
      <c r="B83" s="27">
        <v>2025</v>
      </c>
      <c r="C83" s="27" t="s">
        <v>1216</v>
      </c>
      <c r="D83" s="27" t="s">
        <v>1097</v>
      </c>
      <c r="E83" s="38" t="s">
        <v>405</v>
      </c>
      <c r="F83" s="27">
        <v>10</v>
      </c>
      <c r="J83" s="27" t="s">
        <v>251</v>
      </c>
      <c r="K83" s="27" t="s">
        <v>1217</v>
      </c>
      <c r="L83" s="27" t="s">
        <v>1189</v>
      </c>
      <c r="M83" s="27">
        <v>10</v>
      </c>
    </row>
    <row r="84" spans="1:13" ht="12.75" x14ac:dyDescent="0.2">
      <c r="A84" s="27">
        <v>2</v>
      </c>
      <c r="B84" s="27">
        <v>2025</v>
      </c>
      <c r="C84" s="27" t="s">
        <v>1216</v>
      </c>
      <c r="D84" s="27" t="s">
        <v>1097</v>
      </c>
      <c r="E84" s="38" t="s">
        <v>426</v>
      </c>
      <c r="F84" s="27">
        <v>10</v>
      </c>
      <c r="J84" s="27" t="s">
        <v>251</v>
      </c>
      <c r="K84" s="27" t="s">
        <v>1217</v>
      </c>
      <c r="L84" s="27" t="s">
        <v>1214</v>
      </c>
      <c r="M84" s="27">
        <v>10</v>
      </c>
    </row>
    <row r="85" spans="1:13" ht="12.75" x14ac:dyDescent="0.2">
      <c r="A85" s="27">
        <v>3</v>
      </c>
      <c r="B85" s="27">
        <v>2025</v>
      </c>
      <c r="C85" s="27" t="s">
        <v>1216</v>
      </c>
      <c r="D85" s="27" t="s">
        <v>1097</v>
      </c>
      <c r="E85" s="38" t="s">
        <v>436</v>
      </c>
      <c r="F85" s="27">
        <v>13</v>
      </c>
      <c r="J85" s="27" t="s">
        <v>251</v>
      </c>
      <c r="K85" s="27" t="s">
        <v>1217</v>
      </c>
      <c r="L85" s="27" t="s">
        <v>1200</v>
      </c>
      <c r="M85" s="27">
        <v>13</v>
      </c>
    </row>
    <row r="86" spans="1:13" ht="12.75" x14ac:dyDescent="0.2">
      <c r="A86" s="27">
        <v>4</v>
      </c>
      <c r="B86" s="27">
        <v>2025</v>
      </c>
      <c r="C86" s="27" t="s">
        <v>1216</v>
      </c>
      <c r="D86" s="27" t="s">
        <v>1097</v>
      </c>
      <c r="E86" s="38" t="s">
        <v>443</v>
      </c>
      <c r="F86" s="27">
        <v>11</v>
      </c>
      <c r="J86" s="27" t="s">
        <v>251</v>
      </c>
      <c r="K86" s="27" t="s">
        <v>1217</v>
      </c>
      <c r="L86" s="27" t="s">
        <v>1194</v>
      </c>
      <c r="M86" s="27">
        <v>11</v>
      </c>
    </row>
    <row r="87" spans="1:13" ht="12.75" x14ac:dyDescent="0.2">
      <c r="A87" s="27">
        <v>5</v>
      </c>
      <c r="B87" s="27">
        <v>2025</v>
      </c>
      <c r="C87" s="27" t="s">
        <v>1216</v>
      </c>
      <c r="D87" s="27" t="s">
        <v>1097</v>
      </c>
      <c r="E87" s="38" t="s">
        <v>460</v>
      </c>
      <c r="F87" s="27">
        <v>15</v>
      </c>
      <c r="J87" s="27" t="s">
        <v>251</v>
      </c>
      <c r="K87" s="27" t="s">
        <v>1217</v>
      </c>
      <c r="L87" s="27" t="s">
        <v>1225</v>
      </c>
      <c r="M87" s="27">
        <v>15</v>
      </c>
    </row>
    <row r="88" spans="1:13" ht="12.75" x14ac:dyDescent="0.2">
      <c r="A88" s="27">
        <v>6</v>
      </c>
      <c r="B88" s="27">
        <v>2025</v>
      </c>
      <c r="C88" s="27" t="s">
        <v>1216</v>
      </c>
      <c r="D88" s="27" t="s">
        <v>1097</v>
      </c>
      <c r="E88" s="38" t="s">
        <v>470</v>
      </c>
      <c r="F88" s="27">
        <v>15</v>
      </c>
      <c r="J88" s="27" t="s">
        <v>251</v>
      </c>
      <c r="K88" s="27" t="s">
        <v>1217</v>
      </c>
      <c r="L88" s="27" t="s">
        <v>980</v>
      </c>
      <c r="M88" s="27">
        <v>15</v>
      </c>
    </row>
    <row r="89" spans="1:13" ht="12.75" x14ac:dyDescent="0.2">
      <c r="A89" s="27">
        <v>7</v>
      </c>
      <c r="B89" s="27">
        <v>2025</v>
      </c>
      <c r="C89" s="27" t="s">
        <v>1216</v>
      </c>
      <c r="D89" s="27" t="s">
        <v>1097</v>
      </c>
      <c r="E89" s="38" t="s">
        <v>479</v>
      </c>
      <c r="F89" s="27">
        <v>10</v>
      </c>
      <c r="J89" s="27" t="s">
        <v>251</v>
      </c>
      <c r="K89" s="27" t="s">
        <v>1217</v>
      </c>
      <c r="L89" s="27" t="s">
        <v>1224</v>
      </c>
      <c r="M89" s="27">
        <v>10</v>
      </c>
    </row>
    <row r="90" spans="1:13" ht="12.75" x14ac:dyDescent="0.2">
      <c r="A90" s="27">
        <v>8</v>
      </c>
      <c r="B90" s="27">
        <v>2025</v>
      </c>
      <c r="C90" s="27" t="s">
        <v>1216</v>
      </c>
      <c r="D90" s="27" t="s">
        <v>1097</v>
      </c>
      <c r="E90" s="38" t="s">
        <v>485</v>
      </c>
      <c r="F90" s="27">
        <v>10</v>
      </c>
      <c r="J90" s="27" t="s">
        <v>251</v>
      </c>
      <c r="K90" s="27" t="s">
        <v>1217</v>
      </c>
      <c r="L90" s="27" t="s">
        <v>1225</v>
      </c>
      <c r="M90" s="27">
        <v>10</v>
      </c>
    </row>
    <row r="91" spans="1:13" ht="12.75" x14ac:dyDescent="0.2">
      <c r="A91" s="27">
        <v>9</v>
      </c>
      <c r="B91" s="27">
        <v>2025</v>
      </c>
      <c r="C91" s="27" t="s">
        <v>1216</v>
      </c>
      <c r="D91" s="27" t="s">
        <v>1097</v>
      </c>
      <c r="E91" s="38" t="s">
        <v>892</v>
      </c>
      <c r="F91" s="27">
        <v>13</v>
      </c>
      <c r="J91" s="27" t="s">
        <v>251</v>
      </c>
      <c r="K91" s="27" t="s">
        <v>1217</v>
      </c>
      <c r="L91" s="27" t="s">
        <v>980</v>
      </c>
      <c r="M91" s="27">
        <v>13</v>
      </c>
    </row>
    <row r="92" spans="1:13" ht="12.75" x14ac:dyDescent="0.2">
      <c r="A92" s="27">
        <v>10</v>
      </c>
      <c r="B92" s="27">
        <v>2025</v>
      </c>
      <c r="C92" s="27" t="s">
        <v>1216</v>
      </c>
      <c r="D92" s="27" t="s">
        <v>1097</v>
      </c>
      <c r="E92" s="38" t="s">
        <v>1203</v>
      </c>
      <c r="F92" s="27">
        <v>12</v>
      </c>
      <c r="J92" s="27" t="s">
        <v>251</v>
      </c>
      <c r="K92" s="27" t="s">
        <v>1217</v>
      </c>
      <c r="L92" s="27" t="s">
        <v>1225</v>
      </c>
      <c r="M92" s="27">
        <v>12</v>
      </c>
    </row>
    <row r="93" spans="1:13" ht="12.75" x14ac:dyDescent="0.2">
      <c r="E93" s="38"/>
    </row>
    <row r="94" spans="1:13" ht="12.75" x14ac:dyDescent="0.2">
      <c r="E94" s="38"/>
    </row>
    <row r="95" spans="1:13" ht="12.75" x14ac:dyDescent="0.2">
      <c r="E95" s="38"/>
    </row>
    <row r="96" spans="1:13" ht="12.75" x14ac:dyDescent="0.2">
      <c r="E96" s="38"/>
    </row>
    <row r="97" spans="5:5" ht="12.75" x14ac:dyDescent="0.2">
      <c r="E97" s="38"/>
    </row>
    <row r="98" spans="5:5" ht="12.75" x14ac:dyDescent="0.2">
      <c r="E98" s="38"/>
    </row>
    <row r="99" spans="5:5" ht="12.75" x14ac:dyDescent="0.2">
      <c r="E99" s="38"/>
    </row>
    <row r="100" spans="5:5" ht="12.75" x14ac:dyDescent="0.2">
      <c r="E100" s="38"/>
    </row>
    <row r="101" spans="5:5" ht="12.75" x14ac:dyDescent="0.2">
      <c r="E101" s="38"/>
    </row>
    <row r="102" spans="5:5" ht="12.75" x14ac:dyDescent="0.2">
      <c r="E102" s="38"/>
    </row>
    <row r="103" spans="5:5" ht="12.75" x14ac:dyDescent="0.2">
      <c r="E103" s="38"/>
    </row>
    <row r="104" spans="5:5" ht="12.75" x14ac:dyDescent="0.2">
      <c r="E104" s="38"/>
    </row>
    <row r="105" spans="5:5" ht="12.75" x14ac:dyDescent="0.2">
      <c r="E105" s="38"/>
    </row>
    <row r="106" spans="5:5" ht="12.75" x14ac:dyDescent="0.2">
      <c r="E106" s="38"/>
    </row>
    <row r="107" spans="5:5" ht="12.75" x14ac:dyDescent="0.2">
      <c r="E107" s="38"/>
    </row>
    <row r="108" spans="5:5" ht="12.75" x14ac:dyDescent="0.2">
      <c r="E108" s="38"/>
    </row>
    <row r="109" spans="5:5" ht="12.75" x14ac:dyDescent="0.2">
      <c r="E109" s="38"/>
    </row>
    <row r="110" spans="5:5" ht="12.75" x14ac:dyDescent="0.2">
      <c r="E110" s="38"/>
    </row>
    <row r="111" spans="5:5" ht="12.75" x14ac:dyDescent="0.2">
      <c r="E111" s="38"/>
    </row>
    <row r="112" spans="5:5" ht="12.75" x14ac:dyDescent="0.2">
      <c r="E112" s="38"/>
    </row>
    <row r="113" spans="5:5" ht="12.75" x14ac:dyDescent="0.2">
      <c r="E113" s="38"/>
    </row>
    <row r="114" spans="5:5" ht="12.75" x14ac:dyDescent="0.2">
      <c r="E114" s="38"/>
    </row>
    <row r="115" spans="5:5" ht="12.75" x14ac:dyDescent="0.2">
      <c r="E115" s="38"/>
    </row>
    <row r="116" spans="5:5" ht="12.75" x14ac:dyDescent="0.2">
      <c r="E116" s="38"/>
    </row>
    <row r="117" spans="5:5" ht="12.75" x14ac:dyDescent="0.2">
      <c r="E117" s="38"/>
    </row>
    <row r="118" spans="5:5" ht="12.75" x14ac:dyDescent="0.2">
      <c r="E118" s="38"/>
    </row>
    <row r="119" spans="5:5" ht="12.75" x14ac:dyDescent="0.2">
      <c r="E119" s="38"/>
    </row>
    <row r="120" spans="5:5" ht="12.75" x14ac:dyDescent="0.2">
      <c r="E120" s="38"/>
    </row>
    <row r="121" spans="5:5" ht="12.75" x14ac:dyDescent="0.2">
      <c r="E121" s="38"/>
    </row>
    <row r="122" spans="5:5" ht="12.75" x14ac:dyDescent="0.2">
      <c r="E122" s="38"/>
    </row>
    <row r="123" spans="5:5" ht="12.75" x14ac:dyDescent="0.2">
      <c r="E123" s="38"/>
    </row>
    <row r="124" spans="5:5" ht="12.75" x14ac:dyDescent="0.2">
      <c r="E124" s="38"/>
    </row>
    <row r="125" spans="5:5" ht="12.75" x14ac:dyDescent="0.2">
      <c r="E125" s="38"/>
    </row>
    <row r="126" spans="5:5" ht="12.75" x14ac:dyDescent="0.2">
      <c r="E126" s="38"/>
    </row>
    <row r="127" spans="5:5" ht="12.75" x14ac:dyDescent="0.2">
      <c r="E127" s="38"/>
    </row>
    <row r="128" spans="5:5" ht="12.75" x14ac:dyDescent="0.2">
      <c r="E128" s="38"/>
    </row>
    <row r="129" spans="5:5" ht="12.75" x14ac:dyDescent="0.2">
      <c r="E129" s="38"/>
    </row>
    <row r="130" spans="5:5" ht="12.75" x14ac:dyDescent="0.2">
      <c r="E130" s="38"/>
    </row>
    <row r="131" spans="5:5" ht="12.75" x14ac:dyDescent="0.2">
      <c r="E131" s="38"/>
    </row>
    <row r="132" spans="5:5" ht="12.75" x14ac:dyDescent="0.2">
      <c r="E132" s="38"/>
    </row>
    <row r="133" spans="5:5" ht="12.75" x14ac:dyDescent="0.2">
      <c r="E133" s="38"/>
    </row>
    <row r="134" spans="5:5" ht="12.75" x14ac:dyDescent="0.2">
      <c r="E134" s="38"/>
    </row>
    <row r="135" spans="5:5" ht="12.75" x14ac:dyDescent="0.2">
      <c r="E135" s="38"/>
    </row>
    <row r="136" spans="5:5" ht="12.75" x14ac:dyDescent="0.2">
      <c r="E136" s="38"/>
    </row>
    <row r="137" spans="5:5" ht="12.75" x14ac:dyDescent="0.2">
      <c r="E137" s="38"/>
    </row>
    <row r="138" spans="5:5" ht="12.75" x14ac:dyDescent="0.2">
      <c r="E138" s="38"/>
    </row>
    <row r="139" spans="5:5" ht="12.75" x14ac:dyDescent="0.2">
      <c r="E139" s="38"/>
    </row>
    <row r="140" spans="5:5" ht="12.75" x14ac:dyDescent="0.2">
      <c r="E140" s="38"/>
    </row>
    <row r="141" spans="5:5" ht="12.75" x14ac:dyDescent="0.2">
      <c r="E141" s="38"/>
    </row>
    <row r="142" spans="5:5" ht="12.75" x14ac:dyDescent="0.2">
      <c r="E142" s="38"/>
    </row>
    <row r="143" spans="5:5" ht="12.75" x14ac:dyDescent="0.2">
      <c r="E143" s="38"/>
    </row>
    <row r="144" spans="5:5" ht="12.75" x14ac:dyDescent="0.2">
      <c r="E144" s="38"/>
    </row>
    <row r="145" spans="5:5" ht="12.75" x14ac:dyDescent="0.2">
      <c r="E145" s="38"/>
    </row>
    <row r="146" spans="5:5" ht="12.75" x14ac:dyDescent="0.2">
      <c r="E146" s="38"/>
    </row>
    <row r="147" spans="5:5" ht="12.75" x14ac:dyDescent="0.2">
      <c r="E147" s="38"/>
    </row>
    <row r="148" spans="5:5" ht="12.75" x14ac:dyDescent="0.2">
      <c r="E148" s="38"/>
    </row>
    <row r="149" spans="5:5" ht="12.75" x14ac:dyDescent="0.2">
      <c r="E149" s="38"/>
    </row>
    <row r="150" spans="5:5" ht="12.75" x14ac:dyDescent="0.2">
      <c r="E150" s="38"/>
    </row>
    <row r="151" spans="5:5" ht="12.75" x14ac:dyDescent="0.2">
      <c r="E151" s="38"/>
    </row>
    <row r="152" spans="5:5" ht="12.75" x14ac:dyDescent="0.2">
      <c r="E152" s="38"/>
    </row>
    <row r="153" spans="5:5" ht="12.75" x14ac:dyDescent="0.2">
      <c r="E153" s="38"/>
    </row>
    <row r="154" spans="5:5" ht="12.75" x14ac:dyDescent="0.2">
      <c r="E154" s="38"/>
    </row>
    <row r="155" spans="5:5" ht="12.75" x14ac:dyDescent="0.2">
      <c r="E155" s="38"/>
    </row>
    <row r="156" spans="5:5" ht="12.75" x14ac:dyDescent="0.2">
      <c r="E156" s="38"/>
    </row>
    <row r="157" spans="5:5" ht="12.75" x14ac:dyDescent="0.2">
      <c r="E157" s="38"/>
    </row>
    <row r="158" spans="5:5" ht="12.75" x14ac:dyDescent="0.2">
      <c r="E158" s="38"/>
    </row>
    <row r="159" spans="5:5" ht="12.75" x14ac:dyDescent="0.2">
      <c r="E159" s="38"/>
    </row>
    <row r="160" spans="5:5" ht="12.75" x14ac:dyDescent="0.2">
      <c r="E160" s="38"/>
    </row>
    <row r="161" spans="5:5" ht="12.75" x14ac:dyDescent="0.2">
      <c r="E161" s="38"/>
    </row>
    <row r="162" spans="5:5" ht="12.75" x14ac:dyDescent="0.2">
      <c r="E162" s="38"/>
    </row>
    <row r="163" spans="5:5" ht="12.75" x14ac:dyDescent="0.2">
      <c r="E163" s="38"/>
    </row>
    <row r="164" spans="5:5" ht="12.75" x14ac:dyDescent="0.2">
      <c r="E164" s="38"/>
    </row>
    <row r="165" spans="5:5" ht="12.75" x14ac:dyDescent="0.2">
      <c r="E165" s="38"/>
    </row>
    <row r="166" spans="5:5" ht="12.75" x14ac:dyDescent="0.2">
      <c r="E166" s="38"/>
    </row>
    <row r="167" spans="5:5" ht="12.75" x14ac:dyDescent="0.2">
      <c r="E167" s="38"/>
    </row>
    <row r="168" spans="5:5" ht="12.75" x14ac:dyDescent="0.2">
      <c r="E168" s="38"/>
    </row>
    <row r="169" spans="5:5" ht="12.75" x14ac:dyDescent="0.2">
      <c r="E169" s="38"/>
    </row>
    <row r="170" spans="5:5" ht="12.75" x14ac:dyDescent="0.2">
      <c r="E170" s="38"/>
    </row>
    <row r="171" spans="5:5" ht="12.75" x14ac:dyDescent="0.2">
      <c r="E171" s="38"/>
    </row>
    <row r="172" spans="5:5" ht="12.75" x14ac:dyDescent="0.2">
      <c r="E172" s="38"/>
    </row>
    <row r="173" spans="5:5" ht="12.75" x14ac:dyDescent="0.2">
      <c r="E173" s="38"/>
    </row>
    <row r="174" spans="5:5" ht="12.75" x14ac:dyDescent="0.2">
      <c r="E174" s="38"/>
    </row>
    <row r="175" spans="5:5" ht="12.75" x14ac:dyDescent="0.2">
      <c r="E175" s="38"/>
    </row>
    <row r="176" spans="5:5" ht="12.75" x14ac:dyDescent="0.2">
      <c r="E176" s="38"/>
    </row>
    <row r="177" spans="5:5" ht="12.75" x14ac:dyDescent="0.2">
      <c r="E177" s="38"/>
    </row>
    <row r="178" spans="5:5" ht="12.75" x14ac:dyDescent="0.2">
      <c r="E178" s="38"/>
    </row>
    <row r="179" spans="5:5" ht="12.75" x14ac:dyDescent="0.2">
      <c r="E179" s="38"/>
    </row>
    <row r="180" spans="5:5" ht="12.75" x14ac:dyDescent="0.2">
      <c r="E180" s="38"/>
    </row>
    <row r="181" spans="5:5" ht="12.75" x14ac:dyDescent="0.2">
      <c r="E181" s="38"/>
    </row>
    <row r="182" spans="5:5" ht="12.75" x14ac:dyDescent="0.2">
      <c r="E182" s="38"/>
    </row>
    <row r="183" spans="5:5" ht="12.75" x14ac:dyDescent="0.2">
      <c r="E183" s="38"/>
    </row>
    <row r="184" spans="5:5" ht="12.75" x14ac:dyDescent="0.2">
      <c r="E184" s="38"/>
    </row>
    <row r="185" spans="5:5" ht="12.75" x14ac:dyDescent="0.2">
      <c r="E185" s="38"/>
    </row>
    <row r="186" spans="5:5" ht="12.75" x14ac:dyDescent="0.2">
      <c r="E186" s="38"/>
    </row>
    <row r="187" spans="5:5" ht="12.75" x14ac:dyDescent="0.2">
      <c r="E187" s="38"/>
    </row>
    <row r="188" spans="5:5" ht="12.75" x14ac:dyDescent="0.2">
      <c r="E188" s="38"/>
    </row>
    <row r="189" spans="5:5" ht="12.75" x14ac:dyDescent="0.2">
      <c r="E189" s="38"/>
    </row>
    <row r="190" spans="5:5" ht="12.75" x14ac:dyDescent="0.2">
      <c r="E190" s="38"/>
    </row>
    <row r="191" spans="5:5" ht="12.75" x14ac:dyDescent="0.2">
      <c r="E191" s="38"/>
    </row>
    <row r="192" spans="5:5" ht="12.75" x14ac:dyDescent="0.2">
      <c r="E192" s="38"/>
    </row>
    <row r="193" spans="5:5" ht="12.75" x14ac:dyDescent="0.2">
      <c r="E193" s="38"/>
    </row>
    <row r="194" spans="5:5" ht="12.75" x14ac:dyDescent="0.2">
      <c r="E194" s="38"/>
    </row>
    <row r="195" spans="5:5" ht="12.75" x14ac:dyDescent="0.2">
      <c r="E195" s="38"/>
    </row>
    <row r="196" spans="5:5" ht="12.75" x14ac:dyDescent="0.2">
      <c r="E196" s="38"/>
    </row>
    <row r="197" spans="5:5" ht="12.75" x14ac:dyDescent="0.2">
      <c r="E197" s="38"/>
    </row>
    <row r="198" spans="5:5" ht="12.75" x14ac:dyDescent="0.2">
      <c r="E198" s="38"/>
    </row>
    <row r="199" spans="5:5" ht="12.75" x14ac:dyDescent="0.2">
      <c r="E199" s="38"/>
    </row>
    <row r="200" spans="5:5" ht="12.75" x14ac:dyDescent="0.2">
      <c r="E200" s="38"/>
    </row>
    <row r="201" spans="5:5" ht="12.75" x14ac:dyDescent="0.2">
      <c r="E201" s="38"/>
    </row>
    <row r="202" spans="5:5" ht="12.75" x14ac:dyDescent="0.2">
      <c r="E202" s="38"/>
    </row>
    <row r="203" spans="5:5" ht="12.75" x14ac:dyDescent="0.2">
      <c r="E203" s="38"/>
    </row>
    <row r="204" spans="5:5" ht="12.75" x14ac:dyDescent="0.2">
      <c r="E204" s="38"/>
    </row>
    <row r="205" spans="5:5" ht="12.75" x14ac:dyDescent="0.2">
      <c r="E205" s="38"/>
    </row>
    <row r="206" spans="5:5" ht="12.75" x14ac:dyDescent="0.2">
      <c r="E206" s="38"/>
    </row>
    <row r="207" spans="5:5" ht="12.75" x14ac:dyDescent="0.2">
      <c r="E207" s="38"/>
    </row>
    <row r="208" spans="5:5" ht="12.75" x14ac:dyDescent="0.2">
      <c r="E208" s="38"/>
    </row>
    <row r="209" spans="5:5" ht="12.75" x14ac:dyDescent="0.2">
      <c r="E209" s="38"/>
    </row>
    <row r="210" spans="5:5" ht="12.75" x14ac:dyDescent="0.2">
      <c r="E210" s="38"/>
    </row>
    <row r="211" spans="5:5" ht="12.75" x14ac:dyDescent="0.2">
      <c r="E211" s="38"/>
    </row>
    <row r="212" spans="5:5" ht="12.75" x14ac:dyDescent="0.2">
      <c r="E212" s="38"/>
    </row>
    <row r="213" spans="5:5" ht="12.75" x14ac:dyDescent="0.2">
      <c r="E213" s="38"/>
    </row>
    <row r="214" spans="5:5" ht="12.75" x14ac:dyDescent="0.2">
      <c r="E214" s="38"/>
    </row>
    <row r="215" spans="5:5" ht="12.75" x14ac:dyDescent="0.2">
      <c r="E215" s="38"/>
    </row>
    <row r="216" spans="5:5" ht="12.75" x14ac:dyDescent="0.2">
      <c r="E216" s="38"/>
    </row>
    <row r="217" spans="5:5" ht="12.75" x14ac:dyDescent="0.2">
      <c r="E217" s="38"/>
    </row>
    <row r="218" spans="5:5" ht="12.75" x14ac:dyDescent="0.2">
      <c r="E218" s="38"/>
    </row>
    <row r="219" spans="5:5" ht="12.75" x14ac:dyDescent="0.2">
      <c r="E219" s="38"/>
    </row>
    <row r="220" spans="5:5" ht="12.75" x14ac:dyDescent="0.2">
      <c r="E220" s="38"/>
    </row>
    <row r="221" spans="5:5" ht="12.75" x14ac:dyDescent="0.2">
      <c r="E221" s="38"/>
    </row>
    <row r="222" spans="5:5" ht="12.75" x14ac:dyDescent="0.2">
      <c r="E222" s="38"/>
    </row>
    <row r="223" spans="5:5" ht="12.75" x14ac:dyDescent="0.2">
      <c r="E223" s="38"/>
    </row>
    <row r="224" spans="5:5" ht="12.75" x14ac:dyDescent="0.2">
      <c r="E224" s="38"/>
    </row>
    <row r="225" spans="5:5" ht="12.75" x14ac:dyDescent="0.2">
      <c r="E225" s="38"/>
    </row>
    <row r="226" spans="5:5" ht="12.75" x14ac:dyDescent="0.2">
      <c r="E226" s="38"/>
    </row>
    <row r="227" spans="5:5" ht="12.75" x14ac:dyDescent="0.2">
      <c r="E227" s="38"/>
    </row>
    <row r="228" spans="5:5" ht="12.75" x14ac:dyDescent="0.2">
      <c r="E228" s="38"/>
    </row>
    <row r="229" spans="5:5" ht="12.75" x14ac:dyDescent="0.2">
      <c r="E229" s="38"/>
    </row>
    <row r="230" spans="5:5" ht="12.75" x14ac:dyDescent="0.2">
      <c r="E230" s="38"/>
    </row>
    <row r="231" spans="5:5" ht="12.75" x14ac:dyDescent="0.2">
      <c r="E231" s="38"/>
    </row>
    <row r="232" spans="5:5" ht="12.75" x14ac:dyDescent="0.2">
      <c r="E232" s="38"/>
    </row>
    <row r="233" spans="5:5" ht="12.75" x14ac:dyDescent="0.2">
      <c r="E233" s="38"/>
    </row>
    <row r="234" spans="5:5" ht="12.75" x14ac:dyDescent="0.2">
      <c r="E234" s="38"/>
    </row>
    <row r="235" spans="5:5" ht="12.75" x14ac:dyDescent="0.2">
      <c r="E235" s="38"/>
    </row>
    <row r="236" spans="5:5" ht="12.75" x14ac:dyDescent="0.2">
      <c r="E236" s="38"/>
    </row>
    <row r="237" spans="5:5" ht="12.75" x14ac:dyDescent="0.2">
      <c r="E237" s="38"/>
    </row>
    <row r="238" spans="5:5" ht="12.75" x14ac:dyDescent="0.2">
      <c r="E238" s="38"/>
    </row>
    <row r="239" spans="5:5" ht="12.75" x14ac:dyDescent="0.2">
      <c r="E239" s="38"/>
    </row>
    <row r="240" spans="5:5" ht="12.75" x14ac:dyDescent="0.2">
      <c r="E240" s="38"/>
    </row>
    <row r="241" spans="5:5" ht="12.75" x14ac:dyDescent="0.2">
      <c r="E241" s="38"/>
    </row>
    <row r="242" spans="5:5" ht="12.75" x14ac:dyDescent="0.2">
      <c r="E242" s="38"/>
    </row>
    <row r="243" spans="5:5" ht="12.75" x14ac:dyDescent="0.2">
      <c r="E243" s="38"/>
    </row>
    <row r="244" spans="5:5" ht="12.75" x14ac:dyDescent="0.2">
      <c r="E244" s="38"/>
    </row>
    <row r="245" spans="5:5" ht="12.75" x14ac:dyDescent="0.2">
      <c r="E245" s="38"/>
    </row>
    <row r="246" spans="5:5" ht="12.75" x14ac:dyDescent="0.2">
      <c r="E246" s="38"/>
    </row>
    <row r="247" spans="5:5" ht="12.75" x14ac:dyDescent="0.2">
      <c r="E247" s="38"/>
    </row>
    <row r="248" spans="5:5" ht="12.75" x14ac:dyDescent="0.2">
      <c r="E248" s="38"/>
    </row>
    <row r="249" spans="5:5" ht="12.75" x14ac:dyDescent="0.2">
      <c r="E249" s="38"/>
    </row>
    <row r="250" spans="5:5" ht="12.75" x14ac:dyDescent="0.2">
      <c r="E250" s="38"/>
    </row>
    <row r="251" spans="5:5" ht="12.75" x14ac:dyDescent="0.2">
      <c r="E251" s="38"/>
    </row>
    <row r="252" spans="5:5" ht="12.75" x14ac:dyDescent="0.2">
      <c r="E252" s="38"/>
    </row>
    <row r="253" spans="5:5" ht="12.75" x14ac:dyDescent="0.2">
      <c r="E253" s="38"/>
    </row>
    <row r="254" spans="5:5" ht="12.75" x14ac:dyDescent="0.2">
      <c r="E254" s="38"/>
    </row>
    <row r="255" spans="5:5" ht="12.75" x14ac:dyDescent="0.2">
      <c r="E255" s="38"/>
    </row>
    <row r="256" spans="5:5" ht="12.75" x14ac:dyDescent="0.2">
      <c r="E256" s="38"/>
    </row>
    <row r="257" spans="5:5" ht="12.75" x14ac:dyDescent="0.2">
      <c r="E257" s="38"/>
    </row>
    <row r="258" spans="5:5" ht="12.75" x14ac:dyDescent="0.2">
      <c r="E258" s="38"/>
    </row>
    <row r="259" spans="5:5" ht="12.75" x14ac:dyDescent="0.2">
      <c r="E259" s="38"/>
    </row>
    <row r="260" spans="5:5" ht="12.75" x14ac:dyDescent="0.2">
      <c r="E260" s="38"/>
    </row>
    <row r="261" spans="5:5" ht="12.75" x14ac:dyDescent="0.2">
      <c r="E261" s="38"/>
    </row>
    <row r="262" spans="5:5" ht="12.75" x14ac:dyDescent="0.2">
      <c r="E262" s="38"/>
    </row>
    <row r="263" spans="5:5" ht="12.75" x14ac:dyDescent="0.2">
      <c r="E263" s="38"/>
    </row>
    <row r="264" spans="5:5" ht="12.75" x14ac:dyDescent="0.2">
      <c r="E264" s="38"/>
    </row>
    <row r="265" spans="5:5" ht="12.75" x14ac:dyDescent="0.2">
      <c r="E265" s="38"/>
    </row>
    <row r="266" spans="5:5" ht="12.75" x14ac:dyDescent="0.2">
      <c r="E266" s="38"/>
    </row>
    <row r="267" spans="5:5" ht="12.75" x14ac:dyDescent="0.2">
      <c r="E267" s="38"/>
    </row>
    <row r="268" spans="5:5" ht="12.75" x14ac:dyDescent="0.2">
      <c r="E268" s="38"/>
    </row>
    <row r="269" spans="5:5" ht="12.75" x14ac:dyDescent="0.2">
      <c r="E269" s="38"/>
    </row>
    <row r="270" spans="5:5" ht="12.75" x14ac:dyDescent="0.2">
      <c r="E270" s="38"/>
    </row>
    <row r="271" spans="5:5" ht="12.75" x14ac:dyDescent="0.2">
      <c r="E271" s="38"/>
    </row>
    <row r="272" spans="5:5" ht="12.75" x14ac:dyDescent="0.2">
      <c r="E272" s="38"/>
    </row>
    <row r="273" spans="5:5" ht="12.75" x14ac:dyDescent="0.2">
      <c r="E273" s="38"/>
    </row>
    <row r="274" spans="5:5" ht="12.75" x14ac:dyDescent="0.2">
      <c r="E274" s="38"/>
    </row>
    <row r="275" spans="5:5" ht="12.75" x14ac:dyDescent="0.2">
      <c r="E275" s="38"/>
    </row>
    <row r="276" spans="5:5" ht="12.75" x14ac:dyDescent="0.2">
      <c r="E276" s="38"/>
    </row>
    <row r="277" spans="5:5" ht="12.75" x14ac:dyDescent="0.2">
      <c r="E277" s="38"/>
    </row>
    <row r="278" spans="5:5" ht="12.75" x14ac:dyDescent="0.2">
      <c r="E278" s="38"/>
    </row>
    <row r="279" spans="5:5" ht="12.75" x14ac:dyDescent="0.2">
      <c r="E279" s="38"/>
    </row>
    <row r="280" spans="5:5" ht="12.75" x14ac:dyDescent="0.2">
      <c r="E280" s="38"/>
    </row>
    <row r="281" spans="5:5" ht="12.75" x14ac:dyDescent="0.2">
      <c r="E281" s="38"/>
    </row>
    <row r="282" spans="5:5" ht="12.75" x14ac:dyDescent="0.2">
      <c r="E282" s="38"/>
    </row>
    <row r="283" spans="5:5" ht="12.75" x14ac:dyDescent="0.2">
      <c r="E283" s="38"/>
    </row>
    <row r="284" spans="5:5" ht="12.75" x14ac:dyDescent="0.2">
      <c r="E284" s="38"/>
    </row>
    <row r="285" spans="5:5" ht="12.75" x14ac:dyDescent="0.2">
      <c r="E285" s="38"/>
    </row>
    <row r="286" spans="5:5" ht="12.75" x14ac:dyDescent="0.2">
      <c r="E286" s="38"/>
    </row>
    <row r="287" spans="5:5" ht="12.75" x14ac:dyDescent="0.2">
      <c r="E287" s="38"/>
    </row>
    <row r="288" spans="5:5" ht="12.75" x14ac:dyDescent="0.2">
      <c r="E288" s="38"/>
    </row>
    <row r="289" spans="5:5" ht="12.75" x14ac:dyDescent="0.2">
      <c r="E289" s="38"/>
    </row>
    <row r="290" spans="5:5" ht="12.75" x14ac:dyDescent="0.2">
      <c r="E290" s="38"/>
    </row>
    <row r="291" spans="5:5" ht="12.75" x14ac:dyDescent="0.2">
      <c r="E291" s="38"/>
    </row>
    <row r="292" spans="5:5" ht="12.75" x14ac:dyDescent="0.2">
      <c r="E292" s="38"/>
    </row>
    <row r="293" spans="5:5" ht="12.75" x14ac:dyDescent="0.2">
      <c r="E293" s="38"/>
    </row>
    <row r="294" spans="5:5" ht="12.75" x14ac:dyDescent="0.2">
      <c r="E294" s="38"/>
    </row>
    <row r="295" spans="5:5" ht="12.75" x14ac:dyDescent="0.2">
      <c r="E295" s="38"/>
    </row>
    <row r="296" spans="5:5" ht="12.75" x14ac:dyDescent="0.2">
      <c r="E296" s="38"/>
    </row>
    <row r="297" spans="5:5" ht="12.75" x14ac:dyDescent="0.2">
      <c r="E297" s="38"/>
    </row>
    <row r="298" spans="5:5" ht="12.75" x14ac:dyDescent="0.2">
      <c r="E298" s="38"/>
    </row>
    <row r="299" spans="5:5" ht="12.75" x14ac:dyDescent="0.2">
      <c r="E299" s="38"/>
    </row>
    <row r="300" spans="5:5" ht="12.75" x14ac:dyDescent="0.2">
      <c r="E300" s="38"/>
    </row>
    <row r="301" spans="5:5" ht="12.75" x14ac:dyDescent="0.2">
      <c r="E301" s="38"/>
    </row>
    <row r="302" spans="5:5" ht="12.75" x14ac:dyDescent="0.2">
      <c r="E302" s="38"/>
    </row>
    <row r="303" spans="5:5" ht="12.75" x14ac:dyDescent="0.2">
      <c r="E303" s="38"/>
    </row>
    <row r="304" spans="5:5" ht="12.75" x14ac:dyDescent="0.2">
      <c r="E304" s="38"/>
    </row>
    <row r="305" spans="5:5" ht="12.75" x14ac:dyDescent="0.2">
      <c r="E305" s="38"/>
    </row>
    <row r="306" spans="5:5" ht="12.75" x14ac:dyDescent="0.2">
      <c r="E306" s="38"/>
    </row>
    <row r="307" spans="5:5" ht="12.75" x14ac:dyDescent="0.2">
      <c r="E307" s="38"/>
    </row>
    <row r="308" spans="5:5" ht="12.75" x14ac:dyDescent="0.2">
      <c r="E308" s="38"/>
    </row>
    <row r="309" spans="5:5" ht="12.75" x14ac:dyDescent="0.2">
      <c r="E309" s="38"/>
    </row>
    <row r="310" spans="5:5" ht="12.75" x14ac:dyDescent="0.2">
      <c r="E310" s="38"/>
    </row>
    <row r="311" spans="5:5" ht="12.75" x14ac:dyDescent="0.2">
      <c r="E311" s="38"/>
    </row>
    <row r="312" spans="5:5" ht="12.75" x14ac:dyDescent="0.2">
      <c r="E312" s="38"/>
    </row>
    <row r="313" spans="5:5" ht="12.75" x14ac:dyDescent="0.2">
      <c r="E313" s="38"/>
    </row>
    <row r="314" spans="5:5" ht="12.75" x14ac:dyDescent="0.2">
      <c r="E314" s="38"/>
    </row>
    <row r="315" spans="5:5" ht="12.75" x14ac:dyDescent="0.2">
      <c r="E315" s="38"/>
    </row>
    <row r="316" spans="5:5" ht="12.75" x14ac:dyDescent="0.2">
      <c r="E316" s="38"/>
    </row>
    <row r="317" spans="5:5" ht="12.75" x14ac:dyDescent="0.2">
      <c r="E317" s="38"/>
    </row>
    <row r="318" spans="5:5" ht="12.75" x14ac:dyDescent="0.2">
      <c r="E318" s="38"/>
    </row>
    <row r="319" spans="5:5" ht="12.75" x14ac:dyDescent="0.2">
      <c r="E319" s="38"/>
    </row>
    <row r="320" spans="5:5" ht="12.75" x14ac:dyDescent="0.2">
      <c r="E320" s="38"/>
    </row>
    <row r="321" spans="5:5" ht="12.75" x14ac:dyDescent="0.2">
      <c r="E321" s="38"/>
    </row>
    <row r="322" spans="5:5" ht="12.75" x14ac:dyDescent="0.2">
      <c r="E322" s="38"/>
    </row>
    <row r="323" spans="5:5" ht="12.75" x14ac:dyDescent="0.2">
      <c r="E323" s="38"/>
    </row>
    <row r="324" spans="5:5" ht="12.75" x14ac:dyDescent="0.2">
      <c r="E324" s="38"/>
    </row>
    <row r="325" spans="5:5" ht="12.75" x14ac:dyDescent="0.2">
      <c r="E325" s="38"/>
    </row>
    <row r="326" spans="5:5" ht="12.75" x14ac:dyDescent="0.2">
      <c r="E326" s="38"/>
    </row>
    <row r="327" spans="5:5" ht="12.75" x14ac:dyDescent="0.2">
      <c r="E327" s="38"/>
    </row>
    <row r="328" spans="5:5" ht="12.75" x14ac:dyDescent="0.2">
      <c r="E328" s="38"/>
    </row>
    <row r="329" spans="5:5" ht="12.75" x14ac:dyDescent="0.2">
      <c r="E329" s="38"/>
    </row>
    <row r="330" spans="5:5" ht="12.75" x14ac:dyDescent="0.2">
      <c r="E330" s="38"/>
    </row>
    <row r="331" spans="5:5" ht="12.75" x14ac:dyDescent="0.2">
      <c r="E331" s="38"/>
    </row>
    <row r="332" spans="5:5" ht="12.75" x14ac:dyDescent="0.2">
      <c r="E332" s="38"/>
    </row>
    <row r="333" spans="5:5" ht="12.75" x14ac:dyDescent="0.2">
      <c r="E333" s="38"/>
    </row>
    <row r="334" spans="5:5" ht="12.75" x14ac:dyDescent="0.2">
      <c r="E334" s="38"/>
    </row>
    <row r="335" spans="5:5" ht="12.75" x14ac:dyDescent="0.2">
      <c r="E335" s="38"/>
    </row>
    <row r="336" spans="5:5" ht="12.75" x14ac:dyDescent="0.2">
      <c r="E336" s="38"/>
    </row>
    <row r="337" spans="5:5" ht="12.75" x14ac:dyDescent="0.2">
      <c r="E337" s="38"/>
    </row>
    <row r="338" spans="5:5" ht="12.75" x14ac:dyDescent="0.2">
      <c r="E338" s="38"/>
    </row>
    <row r="339" spans="5:5" ht="12.75" x14ac:dyDescent="0.2">
      <c r="E339" s="38"/>
    </row>
    <row r="340" spans="5:5" ht="12.75" x14ac:dyDescent="0.2">
      <c r="E340" s="38"/>
    </row>
    <row r="341" spans="5:5" ht="12.75" x14ac:dyDescent="0.2">
      <c r="E341" s="38"/>
    </row>
    <row r="342" spans="5:5" ht="12.75" x14ac:dyDescent="0.2">
      <c r="E342" s="38"/>
    </row>
    <row r="343" spans="5:5" ht="12.75" x14ac:dyDescent="0.2">
      <c r="E343" s="38"/>
    </row>
    <row r="344" spans="5:5" ht="12.75" x14ac:dyDescent="0.2">
      <c r="E344" s="38"/>
    </row>
    <row r="345" spans="5:5" ht="12.75" x14ac:dyDescent="0.2">
      <c r="E345" s="38"/>
    </row>
    <row r="346" spans="5:5" ht="12.75" x14ac:dyDescent="0.2">
      <c r="E346" s="38"/>
    </row>
    <row r="347" spans="5:5" ht="12.75" x14ac:dyDescent="0.2">
      <c r="E347" s="38"/>
    </row>
    <row r="348" spans="5:5" ht="12.75" x14ac:dyDescent="0.2">
      <c r="E348" s="38"/>
    </row>
    <row r="349" spans="5:5" ht="12.75" x14ac:dyDescent="0.2">
      <c r="E349" s="38"/>
    </row>
    <row r="350" spans="5:5" ht="12.75" x14ac:dyDescent="0.2">
      <c r="E350" s="38"/>
    </row>
    <row r="351" spans="5:5" ht="12.75" x14ac:dyDescent="0.2">
      <c r="E351" s="38"/>
    </row>
    <row r="352" spans="5:5" ht="12.75" x14ac:dyDescent="0.2">
      <c r="E352" s="38"/>
    </row>
    <row r="353" spans="5:5" ht="12.75" x14ac:dyDescent="0.2">
      <c r="E353" s="38"/>
    </row>
    <row r="354" spans="5:5" ht="12.75" x14ac:dyDescent="0.2">
      <c r="E354" s="38"/>
    </row>
    <row r="355" spans="5:5" ht="12.75" x14ac:dyDescent="0.2">
      <c r="E355" s="38"/>
    </row>
    <row r="356" spans="5:5" ht="12.75" x14ac:dyDescent="0.2">
      <c r="E356" s="38"/>
    </row>
    <row r="357" spans="5:5" ht="12.75" x14ac:dyDescent="0.2">
      <c r="E357" s="38"/>
    </row>
    <row r="358" spans="5:5" ht="12.75" x14ac:dyDescent="0.2">
      <c r="E358" s="38"/>
    </row>
    <row r="359" spans="5:5" ht="12.75" x14ac:dyDescent="0.2">
      <c r="E359" s="38"/>
    </row>
    <row r="360" spans="5:5" ht="12.75" x14ac:dyDescent="0.2">
      <c r="E360" s="38"/>
    </row>
    <row r="361" spans="5:5" ht="12.75" x14ac:dyDescent="0.2">
      <c r="E361" s="38"/>
    </row>
    <row r="362" spans="5:5" ht="12.75" x14ac:dyDescent="0.2">
      <c r="E362" s="38"/>
    </row>
    <row r="363" spans="5:5" ht="12.75" x14ac:dyDescent="0.2">
      <c r="E363" s="38"/>
    </row>
    <row r="364" spans="5:5" ht="12.75" x14ac:dyDescent="0.2">
      <c r="E364" s="38"/>
    </row>
    <row r="365" spans="5:5" ht="12.75" x14ac:dyDescent="0.2">
      <c r="E365" s="38"/>
    </row>
    <row r="366" spans="5:5" ht="12.75" x14ac:dyDescent="0.2">
      <c r="E366" s="38"/>
    </row>
    <row r="367" spans="5:5" ht="12.75" x14ac:dyDescent="0.2">
      <c r="E367" s="38"/>
    </row>
    <row r="368" spans="5:5" ht="12.75" x14ac:dyDescent="0.2">
      <c r="E368" s="38"/>
    </row>
    <row r="369" spans="5:5" ht="12.75" x14ac:dyDescent="0.2">
      <c r="E369" s="38"/>
    </row>
    <row r="370" spans="5:5" ht="12.75" x14ac:dyDescent="0.2">
      <c r="E370" s="38"/>
    </row>
    <row r="371" spans="5:5" ht="12.75" x14ac:dyDescent="0.2">
      <c r="E371" s="38"/>
    </row>
    <row r="372" spans="5:5" ht="12.75" x14ac:dyDescent="0.2">
      <c r="E372" s="38"/>
    </row>
    <row r="373" spans="5:5" ht="12.75" x14ac:dyDescent="0.2">
      <c r="E373" s="38"/>
    </row>
    <row r="374" spans="5:5" ht="12.75" x14ac:dyDescent="0.2">
      <c r="E374" s="38"/>
    </row>
    <row r="375" spans="5:5" ht="12.75" x14ac:dyDescent="0.2">
      <c r="E375" s="38"/>
    </row>
    <row r="376" spans="5:5" ht="12.75" x14ac:dyDescent="0.2">
      <c r="E376" s="38"/>
    </row>
    <row r="377" spans="5:5" ht="12.75" x14ac:dyDescent="0.2">
      <c r="E377" s="38"/>
    </row>
    <row r="378" spans="5:5" ht="12.75" x14ac:dyDescent="0.2">
      <c r="E378" s="38"/>
    </row>
    <row r="379" spans="5:5" ht="12.75" x14ac:dyDescent="0.2">
      <c r="E379" s="38"/>
    </row>
    <row r="380" spans="5:5" ht="12.75" x14ac:dyDescent="0.2">
      <c r="E380" s="38"/>
    </row>
    <row r="381" spans="5:5" ht="12.75" x14ac:dyDescent="0.2">
      <c r="E381" s="38"/>
    </row>
    <row r="382" spans="5:5" ht="12.75" x14ac:dyDescent="0.2">
      <c r="E382" s="38"/>
    </row>
    <row r="383" spans="5:5" ht="12.75" x14ac:dyDescent="0.2">
      <c r="E383" s="38"/>
    </row>
    <row r="384" spans="5:5" ht="12.75" x14ac:dyDescent="0.2">
      <c r="E384" s="38"/>
    </row>
    <row r="385" spans="5:5" ht="12.75" x14ac:dyDescent="0.2">
      <c r="E385" s="38"/>
    </row>
    <row r="386" spans="5:5" ht="12.75" x14ac:dyDescent="0.2">
      <c r="E386" s="38"/>
    </row>
    <row r="387" spans="5:5" ht="12.75" x14ac:dyDescent="0.2">
      <c r="E387" s="38"/>
    </row>
    <row r="388" spans="5:5" ht="12.75" x14ac:dyDescent="0.2">
      <c r="E388" s="38"/>
    </row>
    <row r="389" spans="5:5" ht="12.75" x14ac:dyDescent="0.2">
      <c r="E389" s="38"/>
    </row>
    <row r="390" spans="5:5" ht="12.75" x14ac:dyDescent="0.2">
      <c r="E390" s="38"/>
    </row>
    <row r="391" spans="5:5" ht="12.75" x14ac:dyDescent="0.2">
      <c r="E391" s="38"/>
    </row>
    <row r="392" spans="5:5" ht="12.75" x14ac:dyDescent="0.2">
      <c r="E392" s="38"/>
    </row>
    <row r="393" spans="5:5" ht="12.75" x14ac:dyDescent="0.2">
      <c r="E393" s="38"/>
    </row>
    <row r="394" spans="5:5" ht="12.75" x14ac:dyDescent="0.2">
      <c r="E394" s="38"/>
    </row>
    <row r="395" spans="5:5" ht="12.75" x14ac:dyDescent="0.2">
      <c r="E395" s="38"/>
    </row>
    <row r="396" spans="5:5" ht="12.75" x14ac:dyDescent="0.2">
      <c r="E396" s="38"/>
    </row>
    <row r="397" spans="5:5" ht="12.75" x14ac:dyDescent="0.2">
      <c r="E397" s="38"/>
    </row>
    <row r="398" spans="5:5" ht="12.75" x14ac:dyDescent="0.2">
      <c r="E398" s="38"/>
    </row>
    <row r="399" spans="5:5" ht="12.75" x14ac:dyDescent="0.2">
      <c r="E399" s="38"/>
    </row>
    <row r="400" spans="5:5" ht="12.75" x14ac:dyDescent="0.2">
      <c r="E400" s="38"/>
    </row>
    <row r="401" spans="5:5" ht="12.75" x14ac:dyDescent="0.2">
      <c r="E401" s="38"/>
    </row>
    <row r="402" spans="5:5" ht="12.75" x14ac:dyDescent="0.2">
      <c r="E402" s="38"/>
    </row>
    <row r="403" spans="5:5" ht="12.75" x14ac:dyDescent="0.2">
      <c r="E403" s="38"/>
    </row>
    <row r="404" spans="5:5" ht="12.75" x14ac:dyDescent="0.2">
      <c r="E404" s="38"/>
    </row>
    <row r="405" spans="5:5" ht="12.75" x14ac:dyDescent="0.2">
      <c r="E405" s="38"/>
    </row>
    <row r="406" spans="5:5" ht="12.75" x14ac:dyDescent="0.2">
      <c r="E406" s="38"/>
    </row>
    <row r="407" spans="5:5" ht="12.75" x14ac:dyDescent="0.2">
      <c r="E407" s="38"/>
    </row>
    <row r="408" spans="5:5" ht="12.75" x14ac:dyDescent="0.2">
      <c r="E408" s="38"/>
    </row>
    <row r="409" spans="5:5" ht="12.75" x14ac:dyDescent="0.2">
      <c r="E409" s="38"/>
    </row>
    <row r="410" spans="5:5" ht="12.75" x14ac:dyDescent="0.2">
      <c r="E410" s="38"/>
    </row>
    <row r="411" spans="5:5" ht="12.75" x14ac:dyDescent="0.2">
      <c r="E411" s="38"/>
    </row>
    <row r="412" spans="5:5" ht="12.75" x14ac:dyDescent="0.2">
      <c r="E412" s="38"/>
    </row>
    <row r="413" spans="5:5" ht="12.75" x14ac:dyDescent="0.2">
      <c r="E413" s="38"/>
    </row>
    <row r="414" spans="5:5" ht="12.75" x14ac:dyDescent="0.2">
      <c r="E414" s="38"/>
    </row>
    <row r="415" spans="5:5" ht="12.75" x14ac:dyDescent="0.2">
      <c r="E415" s="38"/>
    </row>
    <row r="416" spans="5:5" ht="12.75" x14ac:dyDescent="0.2">
      <c r="E416" s="38"/>
    </row>
    <row r="417" spans="5:5" ht="12.75" x14ac:dyDescent="0.2">
      <c r="E417" s="38"/>
    </row>
    <row r="418" spans="5:5" ht="12.75" x14ac:dyDescent="0.2">
      <c r="E418" s="38"/>
    </row>
    <row r="419" spans="5:5" ht="12.75" x14ac:dyDescent="0.2">
      <c r="E419" s="38"/>
    </row>
    <row r="420" spans="5:5" ht="12.75" x14ac:dyDescent="0.2">
      <c r="E420" s="38"/>
    </row>
    <row r="421" spans="5:5" ht="12.75" x14ac:dyDescent="0.2">
      <c r="E421" s="38"/>
    </row>
    <row r="422" spans="5:5" ht="12.75" x14ac:dyDescent="0.2">
      <c r="E422" s="38"/>
    </row>
    <row r="423" spans="5:5" ht="12.75" x14ac:dyDescent="0.2">
      <c r="E423" s="38"/>
    </row>
    <row r="424" spans="5:5" ht="12.75" x14ac:dyDescent="0.2">
      <c r="E424" s="38"/>
    </row>
    <row r="425" spans="5:5" ht="12.75" x14ac:dyDescent="0.2">
      <c r="E425" s="38"/>
    </row>
    <row r="426" spans="5:5" ht="12.75" x14ac:dyDescent="0.2">
      <c r="E426" s="38"/>
    </row>
    <row r="427" spans="5:5" ht="12.75" x14ac:dyDescent="0.2">
      <c r="E427" s="38"/>
    </row>
    <row r="428" spans="5:5" ht="12.75" x14ac:dyDescent="0.2">
      <c r="E428" s="38"/>
    </row>
    <row r="429" spans="5:5" ht="12.75" x14ac:dyDescent="0.2">
      <c r="E429" s="38"/>
    </row>
    <row r="430" spans="5:5" ht="12.75" x14ac:dyDescent="0.2">
      <c r="E430" s="38"/>
    </row>
    <row r="431" spans="5:5" ht="12.75" x14ac:dyDescent="0.2">
      <c r="E431" s="38"/>
    </row>
    <row r="432" spans="5:5" ht="12.75" x14ac:dyDescent="0.2">
      <c r="E432" s="38"/>
    </row>
    <row r="433" spans="5:5" ht="12.75" x14ac:dyDescent="0.2">
      <c r="E433" s="38"/>
    </row>
    <row r="434" spans="5:5" ht="12.75" x14ac:dyDescent="0.2">
      <c r="E434" s="38"/>
    </row>
    <row r="435" spans="5:5" ht="12.75" x14ac:dyDescent="0.2">
      <c r="E435" s="38"/>
    </row>
    <row r="436" spans="5:5" ht="12.75" x14ac:dyDescent="0.2">
      <c r="E436" s="38"/>
    </row>
    <row r="437" spans="5:5" ht="12.75" x14ac:dyDescent="0.2">
      <c r="E437" s="38"/>
    </row>
    <row r="438" spans="5:5" ht="12.75" x14ac:dyDescent="0.2">
      <c r="E438" s="38"/>
    </row>
    <row r="439" spans="5:5" ht="12.75" x14ac:dyDescent="0.2">
      <c r="E439" s="38"/>
    </row>
    <row r="440" spans="5:5" ht="12.75" x14ac:dyDescent="0.2">
      <c r="E440" s="38"/>
    </row>
    <row r="441" spans="5:5" ht="12.75" x14ac:dyDescent="0.2">
      <c r="E441" s="38"/>
    </row>
    <row r="442" spans="5:5" ht="12.75" x14ac:dyDescent="0.2">
      <c r="E442" s="38"/>
    </row>
    <row r="443" spans="5:5" ht="12.75" x14ac:dyDescent="0.2">
      <c r="E443" s="38"/>
    </row>
    <row r="444" spans="5:5" ht="12.75" x14ac:dyDescent="0.2">
      <c r="E444" s="38"/>
    </row>
    <row r="445" spans="5:5" ht="12.75" x14ac:dyDescent="0.2">
      <c r="E445" s="38"/>
    </row>
    <row r="446" spans="5:5" ht="12.75" x14ac:dyDescent="0.2">
      <c r="E446" s="38"/>
    </row>
    <row r="447" spans="5:5" ht="12.75" x14ac:dyDescent="0.2">
      <c r="E447" s="38"/>
    </row>
    <row r="448" spans="5:5" ht="12.75" x14ac:dyDescent="0.2">
      <c r="E448" s="38"/>
    </row>
    <row r="449" spans="5:5" ht="12.75" x14ac:dyDescent="0.2">
      <c r="E449" s="38"/>
    </row>
    <row r="450" spans="5:5" ht="12.75" x14ac:dyDescent="0.2">
      <c r="E450" s="38"/>
    </row>
    <row r="451" spans="5:5" ht="12.75" x14ac:dyDescent="0.2">
      <c r="E451" s="38"/>
    </row>
    <row r="452" spans="5:5" ht="12.75" x14ac:dyDescent="0.2">
      <c r="E452" s="38"/>
    </row>
    <row r="453" spans="5:5" ht="12.75" x14ac:dyDescent="0.2">
      <c r="E453" s="38"/>
    </row>
    <row r="454" spans="5:5" ht="12.75" x14ac:dyDescent="0.2">
      <c r="E454" s="38"/>
    </row>
    <row r="455" spans="5:5" ht="12.75" x14ac:dyDescent="0.2">
      <c r="E455" s="38"/>
    </row>
    <row r="456" spans="5:5" ht="12.75" x14ac:dyDescent="0.2">
      <c r="E456" s="38"/>
    </row>
    <row r="457" spans="5:5" ht="12.75" x14ac:dyDescent="0.2">
      <c r="E457" s="38"/>
    </row>
    <row r="458" spans="5:5" ht="12.75" x14ac:dyDescent="0.2">
      <c r="E458" s="38"/>
    </row>
    <row r="459" spans="5:5" ht="12.75" x14ac:dyDescent="0.2">
      <c r="E459" s="38"/>
    </row>
    <row r="460" spans="5:5" ht="12.75" x14ac:dyDescent="0.2">
      <c r="E460" s="38"/>
    </row>
    <row r="461" spans="5:5" ht="12.75" x14ac:dyDescent="0.2">
      <c r="E461" s="38"/>
    </row>
    <row r="462" spans="5:5" ht="12.75" x14ac:dyDescent="0.2">
      <c r="E462" s="38"/>
    </row>
    <row r="463" spans="5:5" ht="12.75" x14ac:dyDescent="0.2">
      <c r="E463" s="38"/>
    </row>
    <row r="464" spans="5:5" ht="12.75" x14ac:dyDescent="0.2">
      <c r="E464" s="38"/>
    </row>
    <row r="465" spans="5:5" ht="12.75" x14ac:dyDescent="0.2">
      <c r="E465" s="38"/>
    </row>
    <row r="466" spans="5:5" ht="12.75" x14ac:dyDescent="0.2">
      <c r="E466" s="38"/>
    </row>
    <row r="467" spans="5:5" ht="12.75" x14ac:dyDescent="0.2">
      <c r="E467" s="38"/>
    </row>
    <row r="468" spans="5:5" ht="12.75" x14ac:dyDescent="0.2">
      <c r="E468" s="38"/>
    </row>
    <row r="469" spans="5:5" ht="12.75" x14ac:dyDescent="0.2">
      <c r="E469" s="38"/>
    </row>
    <row r="470" spans="5:5" ht="12.75" x14ac:dyDescent="0.2">
      <c r="E470" s="38"/>
    </row>
    <row r="471" spans="5:5" ht="12.75" x14ac:dyDescent="0.2">
      <c r="E471" s="38"/>
    </row>
    <row r="472" spans="5:5" ht="12.75" x14ac:dyDescent="0.2">
      <c r="E472" s="38"/>
    </row>
    <row r="473" spans="5:5" ht="12.75" x14ac:dyDescent="0.2">
      <c r="E473" s="38"/>
    </row>
    <row r="474" spans="5:5" ht="12.75" x14ac:dyDescent="0.2">
      <c r="E474" s="38"/>
    </row>
    <row r="475" spans="5:5" ht="12.75" x14ac:dyDescent="0.2">
      <c r="E475" s="38"/>
    </row>
    <row r="476" spans="5:5" ht="12.75" x14ac:dyDescent="0.2">
      <c r="E476" s="38"/>
    </row>
    <row r="477" spans="5:5" ht="12.75" x14ac:dyDescent="0.2">
      <c r="E477" s="38"/>
    </row>
    <row r="478" spans="5:5" ht="12.75" x14ac:dyDescent="0.2">
      <c r="E478" s="38"/>
    </row>
    <row r="479" spans="5:5" ht="12.75" x14ac:dyDescent="0.2">
      <c r="E479" s="38"/>
    </row>
    <row r="480" spans="5:5" ht="12.75" x14ac:dyDescent="0.2">
      <c r="E480" s="38"/>
    </row>
    <row r="481" spans="5:5" ht="12.75" x14ac:dyDescent="0.2">
      <c r="E481" s="38"/>
    </row>
    <row r="482" spans="5:5" ht="12.75" x14ac:dyDescent="0.2">
      <c r="E482" s="38"/>
    </row>
    <row r="483" spans="5:5" ht="12.75" x14ac:dyDescent="0.2">
      <c r="E483" s="38"/>
    </row>
    <row r="484" spans="5:5" ht="12.75" x14ac:dyDescent="0.2">
      <c r="E484" s="38"/>
    </row>
    <row r="485" spans="5:5" ht="12.75" x14ac:dyDescent="0.2">
      <c r="E485" s="38"/>
    </row>
    <row r="486" spans="5:5" ht="12.75" x14ac:dyDescent="0.2">
      <c r="E486" s="38"/>
    </row>
    <row r="487" spans="5:5" ht="12.75" x14ac:dyDescent="0.2">
      <c r="E487" s="38"/>
    </row>
    <row r="488" spans="5:5" ht="12.75" x14ac:dyDescent="0.2">
      <c r="E488" s="38"/>
    </row>
    <row r="489" spans="5:5" ht="12.75" x14ac:dyDescent="0.2">
      <c r="E489" s="38"/>
    </row>
    <row r="490" spans="5:5" ht="12.75" x14ac:dyDescent="0.2">
      <c r="E490" s="38"/>
    </row>
    <row r="491" spans="5:5" ht="12.75" x14ac:dyDescent="0.2">
      <c r="E491" s="38"/>
    </row>
    <row r="492" spans="5:5" ht="12.75" x14ac:dyDescent="0.2">
      <c r="E492" s="38"/>
    </row>
    <row r="493" spans="5:5" ht="12.75" x14ac:dyDescent="0.2">
      <c r="E493" s="38"/>
    </row>
    <row r="494" spans="5:5" ht="12.75" x14ac:dyDescent="0.2">
      <c r="E494" s="38"/>
    </row>
    <row r="495" spans="5:5" ht="12.75" x14ac:dyDescent="0.2">
      <c r="E495" s="38"/>
    </row>
    <row r="496" spans="5:5" ht="12.75" x14ac:dyDescent="0.2">
      <c r="E496" s="38"/>
    </row>
    <row r="497" spans="5:5" ht="12.75" x14ac:dyDescent="0.2">
      <c r="E497" s="38"/>
    </row>
    <row r="498" spans="5:5" ht="12.75" x14ac:dyDescent="0.2">
      <c r="E498" s="38"/>
    </row>
    <row r="499" spans="5:5" ht="12.75" x14ac:dyDescent="0.2">
      <c r="E499" s="38"/>
    </row>
    <row r="500" spans="5:5" ht="12.75" x14ac:dyDescent="0.2">
      <c r="E500" s="38"/>
    </row>
    <row r="501" spans="5:5" ht="12.75" x14ac:dyDescent="0.2">
      <c r="E501" s="38"/>
    </row>
    <row r="502" spans="5:5" ht="12.75" x14ac:dyDescent="0.2">
      <c r="E502" s="38"/>
    </row>
    <row r="503" spans="5:5" ht="12.75" x14ac:dyDescent="0.2">
      <c r="E503" s="38"/>
    </row>
    <row r="504" spans="5:5" ht="12.75" x14ac:dyDescent="0.2">
      <c r="E504" s="38"/>
    </row>
    <row r="505" spans="5:5" ht="12.75" x14ac:dyDescent="0.2">
      <c r="E505" s="38"/>
    </row>
    <row r="506" spans="5:5" ht="12.75" x14ac:dyDescent="0.2">
      <c r="E506" s="38"/>
    </row>
    <row r="507" spans="5:5" ht="12.75" x14ac:dyDescent="0.2">
      <c r="E507" s="38"/>
    </row>
    <row r="508" spans="5:5" ht="12.75" x14ac:dyDescent="0.2">
      <c r="E508" s="38"/>
    </row>
    <row r="509" spans="5:5" ht="12.75" x14ac:dyDescent="0.2">
      <c r="E509" s="38"/>
    </row>
    <row r="510" spans="5:5" ht="12.75" x14ac:dyDescent="0.2">
      <c r="E510" s="38"/>
    </row>
    <row r="511" spans="5:5" ht="12.75" x14ac:dyDescent="0.2">
      <c r="E511" s="38"/>
    </row>
    <row r="512" spans="5:5" ht="12.75" x14ac:dyDescent="0.2">
      <c r="E512" s="38"/>
    </row>
    <row r="513" spans="5:5" ht="12.75" x14ac:dyDescent="0.2">
      <c r="E513" s="38"/>
    </row>
    <row r="514" spans="5:5" ht="12.75" x14ac:dyDescent="0.2">
      <c r="E514" s="38"/>
    </row>
    <row r="515" spans="5:5" ht="12.75" x14ac:dyDescent="0.2">
      <c r="E515" s="38"/>
    </row>
    <row r="516" spans="5:5" ht="12.75" x14ac:dyDescent="0.2">
      <c r="E516" s="38"/>
    </row>
    <row r="517" spans="5:5" ht="12.75" x14ac:dyDescent="0.2">
      <c r="E517" s="38"/>
    </row>
    <row r="518" spans="5:5" ht="12.75" x14ac:dyDescent="0.2">
      <c r="E518" s="38"/>
    </row>
    <row r="519" spans="5:5" ht="12.75" x14ac:dyDescent="0.2">
      <c r="E519" s="38"/>
    </row>
    <row r="520" spans="5:5" ht="12.75" x14ac:dyDescent="0.2">
      <c r="E520" s="38"/>
    </row>
    <row r="521" spans="5:5" ht="12.75" x14ac:dyDescent="0.2">
      <c r="E521" s="38"/>
    </row>
    <row r="522" spans="5:5" ht="12.75" x14ac:dyDescent="0.2">
      <c r="E522" s="38"/>
    </row>
    <row r="523" spans="5:5" ht="12.75" x14ac:dyDescent="0.2">
      <c r="E523" s="38"/>
    </row>
    <row r="524" spans="5:5" ht="12.75" x14ac:dyDescent="0.2">
      <c r="E524" s="38"/>
    </row>
    <row r="525" spans="5:5" ht="12.75" x14ac:dyDescent="0.2">
      <c r="E525" s="38"/>
    </row>
    <row r="526" spans="5:5" ht="12.75" x14ac:dyDescent="0.2">
      <c r="E526" s="38"/>
    </row>
    <row r="527" spans="5:5" ht="12.75" x14ac:dyDescent="0.2">
      <c r="E527" s="38"/>
    </row>
    <row r="528" spans="5:5" ht="12.75" x14ac:dyDescent="0.2">
      <c r="E528" s="38"/>
    </row>
    <row r="529" spans="5:5" ht="12.75" x14ac:dyDescent="0.2">
      <c r="E529" s="38"/>
    </row>
    <row r="530" spans="5:5" ht="12.75" x14ac:dyDescent="0.2">
      <c r="E530" s="38"/>
    </row>
    <row r="531" spans="5:5" ht="12.75" x14ac:dyDescent="0.2">
      <c r="E531" s="38"/>
    </row>
    <row r="532" spans="5:5" ht="12.75" x14ac:dyDescent="0.2">
      <c r="E532" s="38"/>
    </row>
    <row r="533" spans="5:5" ht="12.75" x14ac:dyDescent="0.2">
      <c r="E533" s="38"/>
    </row>
    <row r="534" spans="5:5" ht="12.75" x14ac:dyDescent="0.2">
      <c r="E534" s="38"/>
    </row>
    <row r="535" spans="5:5" ht="12.75" x14ac:dyDescent="0.2">
      <c r="E535" s="38"/>
    </row>
    <row r="536" spans="5:5" ht="12.75" x14ac:dyDescent="0.2">
      <c r="E536" s="38"/>
    </row>
    <row r="537" spans="5:5" ht="12.75" x14ac:dyDescent="0.2">
      <c r="E537" s="38"/>
    </row>
    <row r="538" spans="5:5" ht="12.75" x14ac:dyDescent="0.2">
      <c r="E538" s="38"/>
    </row>
    <row r="539" spans="5:5" ht="12.75" x14ac:dyDescent="0.2">
      <c r="E539" s="38"/>
    </row>
    <row r="540" spans="5:5" ht="12.75" x14ac:dyDescent="0.2">
      <c r="E540" s="38"/>
    </row>
    <row r="541" spans="5:5" ht="12.75" x14ac:dyDescent="0.2">
      <c r="E541" s="38"/>
    </row>
    <row r="542" spans="5:5" ht="12.75" x14ac:dyDescent="0.2">
      <c r="E542" s="38"/>
    </row>
    <row r="543" spans="5:5" ht="12.75" x14ac:dyDescent="0.2">
      <c r="E543" s="38"/>
    </row>
    <row r="544" spans="5:5" ht="12.75" x14ac:dyDescent="0.2">
      <c r="E544" s="38"/>
    </row>
    <row r="545" spans="5:5" ht="12.75" x14ac:dyDescent="0.2">
      <c r="E545" s="38"/>
    </row>
    <row r="546" spans="5:5" ht="12.75" x14ac:dyDescent="0.2">
      <c r="E546" s="38"/>
    </row>
    <row r="547" spans="5:5" ht="12.75" x14ac:dyDescent="0.2">
      <c r="E547" s="38"/>
    </row>
    <row r="548" spans="5:5" ht="12.75" x14ac:dyDescent="0.2">
      <c r="E548" s="38"/>
    </row>
    <row r="549" spans="5:5" ht="12.75" x14ac:dyDescent="0.2">
      <c r="E549" s="38"/>
    </row>
    <row r="550" spans="5:5" ht="12.75" x14ac:dyDescent="0.2">
      <c r="E550" s="38"/>
    </row>
    <row r="551" spans="5:5" ht="12.75" x14ac:dyDescent="0.2">
      <c r="E551" s="38"/>
    </row>
    <row r="552" spans="5:5" ht="12.75" x14ac:dyDescent="0.2">
      <c r="E552" s="38"/>
    </row>
    <row r="553" spans="5:5" ht="12.75" x14ac:dyDescent="0.2">
      <c r="E553" s="38"/>
    </row>
    <row r="554" spans="5:5" ht="12.75" x14ac:dyDescent="0.2">
      <c r="E554" s="38"/>
    </row>
    <row r="555" spans="5:5" ht="12.75" x14ac:dyDescent="0.2">
      <c r="E555" s="38"/>
    </row>
    <row r="556" spans="5:5" ht="12.75" x14ac:dyDescent="0.2">
      <c r="E556" s="38"/>
    </row>
    <row r="557" spans="5:5" ht="12.75" x14ac:dyDescent="0.2">
      <c r="E557" s="38"/>
    </row>
    <row r="558" spans="5:5" ht="12.75" x14ac:dyDescent="0.2">
      <c r="E558" s="38"/>
    </row>
    <row r="559" spans="5:5" ht="12.75" x14ac:dyDescent="0.2">
      <c r="E559" s="38"/>
    </row>
    <row r="560" spans="5:5" ht="12.75" x14ac:dyDescent="0.2">
      <c r="E560" s="38"/>
    </row>
    <row r="561" spans="5:5" ht="12.75" x14ac:dyDescent="0.2">
      <c r="E561" s="38"/>
    </row>
    <row r="562" spans="5:5" ht="12.75" x14ac:dyDescent="0.2">
      <c r="E562" s="38"/>
    </row>
    <row r="563" spans="5:5" ht="12.75" x14ac:dyDescent="0.2">
      <c r="E563" s="38"/>
    </row>
    <row r="564" spans="5:5" ht="12.75" x14ac:dyDescent="0.2">
      <c r="E564" s="38"/>
    </row>
    <row r="565" spans="5:5" ht="12.75" x14ac:dyDescent="0.2">
      <c r="E565" s="38"/>
    </row>
    <row r="566" spans="5:5" ht="12.75" x14ac:dyDescent="0.2">
      <c r="E566" s="38"/>
    </row>
    <row r="567" spans="5:5" ht="12.75" x14ac:dyDescent="0.2">
      <c r="E567" s="38"/>
    </row>
    <row r="568" spans="5:5" ht="12.75" x14ac:dyDescent="0.2">
      <c r="E568" s="38"/>
    </row>
    <row r="569" spans="5:5" ht="12.75" x14ac:dyDescent="0.2">
      <c r="E569" s="38"/>
    </row>
    <row r="570" spans="5:5" ht="12.75" x14ac:dyDescent="0.2">
      <c r="E570" s="38"/>
    </row>
    <row r="571" spans="5:5" ht="12.75" x14ac:dyDescent="0.2">
      <c r="E571" s="38"/>
    </row>
    <row r="572" spans="5:5" ht="12.75" x14ac:dyDescent="0.2">
      <c r="E572" s="38"/>
    </row>
    <row r="573" spans="5:5" ht="12.75" x14ac:dyDescent="0.2">
      <c r="E573" s="38"/>
    </row>
    <row r="574" spans="5:5" ht="12.75" x14ac:dyDescent="0.2">
      <c r="E574" s="38"/>
    </row>
    <row r="575" spans="5:5" ht="12.75" x14ac:dyDescent="0.2">
      <c r="E575" s="38"/>
    </row>
    <row r="576" spans="5:5" ht="12.75" x14ac:dyDescent="0.2">
      <c r="E576" s="38"/>
    </row>
    <row r="577" spans="5:5" ht="12.75" x14ac:dyDescent="0.2">
      <c r="E577" s="38"/>
    </row>
    <row r="578" spans="5:5" ht="12.75" x14ac:dyDescent="0.2">
      <c r="E578" s="38"/>
    </row>
    <row r="579" spans="5:5" ht="12.75" x14ac:dyDescent="0.2">
      <c r="E579" s="38"/>
    </row>
    <row r="580" spans="5:5" ht="12.75" x14ac:dyDescent="0.2">
      <c r="E580" s="38"/>
    </row>
    <row r="581" spans="5:5" ht="12.75" x14ac:dyDescent="0.2">
      <c r="E581" s="38"/>
    </row>
    <row r="582" spans="5:5" ht="12.75" x14ac:dyDescent="0.2">
      <c r="E582" s="38"/>
    </row>
    <row r="583" spans="5:5" ht="12.75" x14ac:dyDescent="0.2">
      <c r="E583" s="38"/>
    </row>
    <row r="584" spans="5:5" ht="12.75" x14ac:dyDescent="0.2">
      <c r="E584" s="38"/>
    </row>
    <row r="585" spans="5:5" ht="12.75" x14ac:dyDescent="0.2">
      <c r="E585" s="38"/>
    </row>
    <row r="586" spans="5:5" ht="12.75" x14ac:dyDescent="0.2">
      <c r="E586" s="38"/>
    </row>
    <row r="587" spans="5:5" ht="12.75" x14ac:dyDescent="0.2">
      <c r="E587" s="38"/>
    </row>
    <row r="588" spans="5:5" ht="12.75" x14ac:dyDescent="0.2">
      <c r="E588" s="38"/>
    </row>
    <row r="589" spans="5:5" ht="12.75" x14ac:dyDescent="0.2">
      <c r="E589" s="38"/>
    </row>
    <row r="590" spans="5:5" ht="12.75" x14ac:dyDescent="0.2">
      <c r="E590" s="38"/>
    </row>
    <row r="591" spans="5:5" ht="12.75" x14ac:dyDescent="0.2">
      <c r="E591" s="38"/>
    </row>
    <row r="592" spans="5:5" ht="12.75" x14ac:dyDescent="0.2">
      <c r="E592" s="38"/>
    </row>
    <row r="593" spans="5:5" ht="12.75" x14ac:dyDescent="0.2">
      <c r="E593" s="38"/>
    </row>
    <row r="594" spans="5:5" ht="12.75" x14ac:dyDescent="0.2">
      <c r="E594" s="38"/>
    </row>
    <row r="595" spans="5:5" ht="12.75" x14ac:dyDescent="0.2">
      <c r="E595" s="38"/>
    </row>
    <row r="596" spans="5:5" ht="12.75" x14ac:dyDescent="0.2">
      <c r="E596" s="38"/>
    </row>
    <row r="597" spans="5:5" ht="12.75" x14ac:dyDescent="0.2">
      <c r="E597" s="38"/>
    </row>
    <row r="598" spans="5:5" ht="12.75" x14ac:dyDescent="0.2">
      <c r="E598" s="38"/>
    </row>
    <row r="599" spans="5:5" ht="12.75" x14ac:dyDescent="0.2">
      <c r="E599" s="38"/>
    </row>
    <row r="600" spans="5:5" ht="12.75" x14ac:dyDescent="0.2">
      <c r="E600" s="38"/>
    </row>
    <row r="601" spans="5:5" ht="12.75" x14ac:dyDescent="0.2">
      <c r="E601" s="38"/>
    </row>
    <row r="602" spans="5:5" ht="12.75" x14ac:dyDescent="0.2">
      <c r="E602" s="38"/>
    </row>
    <row r="603" spans="5:5" ht="12.75" x14ac:dyDescent="0.2">
      <c r="E603" s="38"/>
    </row>
    <row r="604" spans="5:5" ht="12.75" x14ac:dyDescent="0.2">
      <c r="E604" s="38"/>
    </row>
    <row r="605" spans="5:5" ht="12.75" x14ac:dyDescent="0.2">
      <c r="E605" s="38"/>
    </row>
    <row r="606" spans="5:5" ht="12.75" x14ac:dyDescent="0.2">
      <c r="E606" s="38"/>
    </row>
    <row r="607" spans="5:5" ht="12.75" x14ac:dyDescent="0.2">
      <c r="E607" s="38"/>
    </row>
    <row r="608" spans="5:5" ht="12.75" x14ac:dyDescent="0.2">
      <c r="E608" s="38"/>
    </row>
    <row r="609" spans="5:5" ht="12.75" x14ac:dyDescent="0.2">
      <c r="E609" s="38"/>
    </row>
    <row r="610" spans="5:5" ht="12.75" x14ac:dyDescent="0.2">
      <c r="E610" s="38"/>
    </row>
    <row r="611" spans="5:5" ht="12.75" x14ac:dyDescent="0.2">
      <c r="E611" s="38"/>
    </row>
    <row r="612" spans="5:5" ht="12.75" x14ac:dyDescent="0.2">
      <c r="E612" s="38"/>
    </row>
    <row r="613" spans="5:5" ht="12.75" x14ac:dyDescent="0.2">
      <c r="E613" s="38"/>
    </row>
    <row r="614" spans="5:5" ht="12.75" x14ac:dyDescent="0.2">
      <c r="E614" s="38"/>
    </row>
    <row r="615" spans="5:5" ht="12.75" x14ac:dyDescent="0.2">
      <c r="E615" s="38"/>
    </row>
    <row r="616" spans="5:5" ht="12.75" x14ac:dyDescent="0.2">
      <c r="E616" s="38"/>
    </row>
    <row r="617" spans="5:5" ht="12.75" x14ac:dyDescent="0.2">
      <c r="E617" s="38"/>
    </row>
    <row r="618" spans="5:5" ht="12.75" x14ac:dyDescent="0.2">
      <c r="E618" s="38"/>
    </row>
    <row r="619" spans="5:5" ht="12.75" x14ac:dyDescent="0.2">
      <c r="E619" s="38"/>
    </row>
    <row r="620" spans="5:5" ht="12.75" x14ac:dyDescent="0.2">
      <c r="E620" s="38"/>
    </row>
    <row r="621" spans="5:5" ht="12.75" x14ac:dyDescent="0.2">
      <c r="E621" s="38"/>
    </row>
    <row r="622" spans="5:5" ht="12.75" x14ac:dyDescent="0.2">
      <c r="E622" s="38"/>
    </row>
    <row r="623" spans="5:5" ht="12.75" x14ac:dyDescent="0.2">
      <c r="E623" s="38"/>
    </row>
    <row r="624" spans="5:5" ht="12.75" x14ac:dyDescent="0.2">
      <c r="E624" s="38"/>
    </row>
    <row r="625" spans="5:5" ht="12.75" x14ac:dyDescent="0.2">
      <c r="E625" s="38"/>
    </row>
    <row r="626" spans="5:5" ht="12.75" x14ac:dyDescent="0.2">
      <c r="E626" s="38"/>
    </row>
    <row r="627" spans="5:5" ht="12.75" x14ac:dyDescent="0.2">
      <c r="E627" s="38"/>
    </row>
    <row r="628" spans="5:5" ht="12.75" x14ac:dyDescent="0.2">
      <c r="E628" s="38"/>
    </row>
    <row r="629" spans="5:5" ht="12.75" x14ac:dyDescent="0.2">
      <c r="E629" s="38"/>
    </row>
    <row r="630" spans="5:5" ht="12.75" x14ac:dyDescent="0.2">
      <c r="E630" s="38"/>
    </row>
    <row r="631" spans="5:5" ht="12.75" x14ac:dyDescent="0.2">
      <c r="E631" s="38"/>
    </row>
    <row r="632" spans="5:5" ht="12.75" x14ac:dyDescent="0.2">
      <c r="E632" s="38"/>
    </row>
    <row r="633" spans="5:5" ht="12.75" x14ac:dyDescent="0.2">
      <c r="E633" s="38"/>
    </row>
    <row r="634" spans="5:5" ht="12.75" x14ac:dyDescent="0.2">
      <c r="E634" s="38"/>
    </row>
    <row r="635" spans="5:5" ht="12.75" x14ac:dyDescent="0.2">
      <c r="E635" s="38"/>
    </row>
    <row r="636" spans="5:5" ht="12.75" x14ac:dyDescent="0.2">
      <c r="E636" s="38"/>
    </row>
    <row r="637" spans="5:5" ht="12.75" x14ac:dyDescent="0.2">
      <c r="E637" s="38"/>
    </row>
    <row r="638" spans="5:5" ht="12.75" x14ac:dyDescent="0.2">
      <c r="E638" s="38"/>
    </row>
    <row r="639" spans="5:5" ht="12.75" x14ac:dyDescent="0.2">
      <c r="E639" s="38"/>
    </row>
    <row r="640" spans="5:5" ht="12.75" x14ac:dyDescent="0.2">
      <c r="E640" s="38"/>
    </row>
    <row r="641" spans="5:5" ht="12.75" x14ac:dyDescent="0.2">
      <c r="E641" s="38"/>
    </row>
    <row r="642" spans="5:5" ht="12.75" x14ac:dyDescent="0.2">
      <c r="E642" s="38"/>
    </row>
    <row r="643" spans="5:5" ht="12.75" x14ac:dyDescent="0.2">
      <c r="E643" s="38"/>
    </row>
    <row r="644" spans="5:5" ht="12.75" x14ac:dyDescent="0.2">
      <c r="E644" s="38"/>
    </row>
    <row r="645" spans="5:5" ht="12.75" x14ac:dyDescent="0.2">
      <c r="E645" s="38"/>
    </row>
    <row r="646" spans="5:5" ht="12.75" x14ac:dyDescent="0.2">
      <c r="E646" s="38"/>
    </row>
    <row r="647" spans="5:5" ht="12.75" x14ac:dyDescent="0.2">
      <c r="E647" s="38"/>
    </row>
    <row r="648" spans="5:5" ht="12.75" x14ac:dyDescent="0.2">
      <c r="E648" s="38"/>
    </row>
    <row r="649" spans="5:5" ht="12.75" x14ac:dyDescent="0.2">
      <c r="E649" s="38"/>
    </row>
    <row r="650" spans="5:5" ht="12.75" x14ac:dyDescent="0.2">
      <c r="E650" s="38"/>
    </row>
    <row r="651" spans="5:5" ht="12.75" x14ac:dyDescent="0.2">
      <c r="E651" s="38"/>
    </row>
    <row r="652" spans="5:5" ht="12.75" x14ac:dyDescent="0.2">
      <c r="E652" s="38"/>
    </row>
    <row r="653" spans="5:5" ht="12.75" x14ac:dyDescent="0.2">
      <c r="E653" s="38"/>
    </row>
    <row r="654" spans="5:5" ht="12.75" x14ac:dyDescent="0.2">
      <c r="E654" s="38"/>
    </row>
    <row r="655" spans="5:5" ht="12.75" x14ac:dyDescent="0.2">
      <c r="E655" s="38"/>
    </row>
    <row r="656" spans="5:5" ht="12.75" x14ac:dyDescent="0.2">
      <c r="E656" s="38"/>
    </row>
    <row r="657" spans="5:5" ht="12.75" x14ac:dyDescent="0.2">
      <c r="E657" s="38"/>
    </row>
    <row r="658" spans="5:5" ht="12.75" x14ac:dyDescent="0.2">
      <c r="E658" s="38"/>
    </row>
    <row r="659" spans="5:5" ht="12.75" x14ac:dyDescent="0.2">
      <c r="E659" s="38"/>
    </row>
    <row r="660" spans="5:5" ht="12.75" x14ac:dyDescent="0.2">
      <c r="E660" s="38"/>
    </row>
    <row r="661" spans="5:5" ht="12.75" x14ac:dyDescent="0.2">
      <c r="E661" s="38"/>
    </row>
    <row r="662" spans="5:5" ht="12.75" x14ac:dyDescent="0.2">
      <c r="E662" s="38"/>
    </row>
    <row r="663" spans="5:5" ht="12.75" x14ac:dyDescent="0.2">
      <c r="E663" s="38"/>
    </row>
    <row r="664" spans="5:5" ht="12.75" x14ac:dyDescent="0.2">
      <c r="E664" s="38"/>
    </row>
    <row r="665" spans="5:5" ht="12.75" x14ac:dyDescent="0.2">
      <c r="E665" s="38"/>
    </row>
    <row r="666" spans="5:5" ht="12.75" x14ac:dyDescent="0.2">
      <c r="E666" s="38"/>
    </row>
    <row r="667" spans="5:5" ht="12.75" x14ac:dyDescent="0.2">
      <c r="E667" s="38"/>
    </row>
    <row r="668" spans="5:5" ht="12.75" x14ac:dyDescent="0.2">
      <c r="E668" s="38"/>
    </row>
    <row r="669" spans="5:5" ht="12.75" x14ac:dyDescent="0.2">
      <c r="E669" s="38"/>
    </row>
    <row r="670" spans="5:5" ht="12.75" x14ac:dyDescent="0.2">
      <c r="E670" s="38"/>
    </row>
    <row r="671" spans="5:5" ht="12.75" x14ac:dyDescent="0.2">
      <c r="E671" s="38"/>
    </row>
    <row r="672" spans="5:5" ht="12.75" x14ac:dyDescent="0.2">
      <c r="E672" s="38"/>
    </row>
    <row r="673" spans="5:5" ht="12.75" x14ac:dyDescent="0.2">
      <c r="E673" s="38"/>
    </row>
    <row r="674" spans="5:5" ht="12.75" x14ac:dyDescent="0.2">
      <c r="E674" s="38"/>
    </row>
    <row r="675" spans="5:5" ht="12.75" x14ac:dyDescent="0.2">
      <c r="E675" s="38"/>
    </row>
    <row r="676" spans="5:5" ht="12.75" x14ac:dyDescent="0.2">
      <c r="E676" s="38"/>
    </row>
    <row r="677" spans="5:5" ht="12.75" x14ac:dyDescent="0.2">
      <c r="E677" s="38"/>
    </row>
    <row r="678" spans="5:5" ht="12.75" x14ac:dyDescent="0.2">
      <c r="E678" s="38"/>
    </row>
    <row r="679" spans="5:5" ht="12.75" x14ac:dyDescent="0.2">
      <c r="E679" s="38"/>
    </row>
    <row r="680" spans="5:5" ht="12.75" x14ac:dyDescent="0.2">
      <c r="E680" s="38"/>
    </row>
    <row r="681" spans="5:5" ht="12.75" x14ac:dyDescent="0.2">
      <c r="E681" s="38"/>
    </row>
    <row r="682" spans="5:5" ht="12.75" x14ac:dyDescent="0.2">
      <c r="E682" s="38"/>
    </row>
    <row r="683" spans="5:5" ht="12.75" x14ac:dyDescent="0.2">
      <c r="E683" s="38"/>
    </row>
    <row r="684" spans="5:5" ht="12.75" x14ac:dyDescent="0.2">
      <c r="E684" s="38"/>
    </row>
    <row r="685" spans="5:5" ht="12.75" x14ac:dyDescent="0.2">
      <c r="E685" s="38"/>
    </row>
    <row r="686" spans="5:5" ht="12.75" x14ac:dyDescent="0.2">
      <c r="E686" s="38"/>
    </row>
    <row r="687" spans="5:5" ht="12.75" x14ac:dyDescent="0.2">
      <c r="E687" s="38"/>
    </row>
    <row r="688" spans="5:5" ht="12.75" x14ac:dyDescent="0.2">
      <c r="E688" s="38"/>
    </row>
    <row r="689" spans="5:5" ht="12.75" x14ac:dyDescent="0.2">
      <c r="E689" s="38"/>
    </row>
    <row r="690" spans="5:5" ht="12.75" x14ac:dyDescent="0.2">
      <c r="E690" s="38"/>
    </row>
    <row r="691" spans="5:5" ht="12.75" x14ac:dyDescent="0.2">
      <c r="E691" s="38"/>
    </row>
    <row r="692" spans="5:5" ht="12.75" x14ac:dyDescent="0.2">
      <c r="E692" s="38"/>
    </row>
    <row r="693" spans="5:5" ht="12.75" x14ac:dyDescent="0.2">
      <c r="E693" s="38"/>
    </row>
    <row r="694" spans="5:5" ht="12.75" x14ac:dyDescent="0.2">
      <c r="E694" s="38"/>
    </row>
    <row r="695" spans="5:5" ht="12.75" x14ac:dyDescent="0.2">
      <c r="E695" s="38"/>
    </row>
    <row r="696" spans="5:5" ht="12.75" x14ac:dyDescent="0.2">
      <c r="E696" s="38"/>
    </row>
    <row r="697" spans="5:5" ht="12.75" x14ac:dyDescent="0.2">
      <c r="E697" s="38"/>
    </row>
    <row r="698" spans="5:5" ht="12.75" x14ac:dyDescent="0.2">
      <c r="E698" s="38"/>
    </row>
    <row r="699" spans="5:5" ht="12.75" x14ac:dyDescent="0.2">
      <c r="E699" s="38"/>
    </row>
    <row r="700" spans="5:5" ht="12.75" x14ac:dyDescent="0.2">
      <c r="E700" s="38"/>
    </row>
    <row r="701" spans="5:5" ht="12.75" x14ac:dyDescent="0.2">
      <c r="E701" s="38"/>
    </row>
    <row r="702" spans="5:5" ht="12.75" x14ac:dyDescent="0.2">
      <c r="E702" s="38"/>
    </row>
    <row r="703" spans="5:5" ht="12.75" x14ac:dyDescent="0.2">
      <c r="E703" s="38"/>
    </row>
    <row r="704" spans="5:5" ht="12.75" x14ac:dyDescent="0.2">
      <c r="E704" s="38"/>
    </row>
    <row r="705" spans="5:5" ht="12.75" x14ac:dyDescent="0.2">
      <c r="E705" s="38"/>
    </row>
    <row r="706" spans="5:5" ht="12.75" x14ac:dyDescent="0.2">
      <c r="E706" s="38"/>
    </row>
    <row r="707" spans="5:5" ht="12.75" x14ac:dyDescent="0.2">
      <c r="E707" s="38"/>
    </row>
    <row r="708" spans="5:5" ht="12.75" x14ac:dyDescent="0.2">
      <c r="E708" s="38"/>
    </row>
    <row r="709" spans="5:5" ht="12.75" x14ac:dyDescent="0.2">
      <c r="E709" s="38"/>
    </row>
    <row r="710" spans="5:5" ht="12.75" x14ac:dyDescent="0.2">
      <c r="E710" s="38"/>
    </row>
    <row r="711" spans="5:5" ht="12.75" x14ac:dyDescent="0.2">
      <c r="E711" s="38"/>
    </row>
    <row r="712" spans="5:5" ht="12.75" x14ac:dyDescent="0.2">
      <c r="E712" s="38"/>
    </row>
    <row r="713" spans="5:5" ht="12.75" x14ac:dyDescent="0.2">
      <c r="E713" s="38"/>
    </row>
    <row r="714" spans="5:5" ht="12.75" x14ac:dyDescent="0.2">
      <c r="E714" s="38"/>
    </row>
    <row r="715" spans="5:5" ht="12.75" x14ac:dyDescent="0.2">
      <c r="E715" s="38"/>
    </row>
    <row r="716" spans="5:5" ht="12.75" x14ac:dyDescent="0.2">
      <c r="E716" s="38"/>
    </row>
    <row r="717" spans="5:5" ht="12.75" x14ac:dyDescent="0.2">
      <c r="E717" s="38"/>
    </row>
    <row r="718" spans="5:5" ht="12.75" x14ac:dyDescent="0.2">
      <c r="E718" s="38"/>
    </row>
    <row r="719" spans="5:5" ht="12.75" x14ac:dyDescent="0.2">
      <c r="E719" s="38"/>
    </row>
    <row r="720" spans="5:5" ht="12.75" x14ac:dyDescent="0.2">
      <c r="E720" s="38"/>
    </row>
    <row r="721" spans="5:5" ht="12.75" x14ac:dyDescent="0.2">
      <c r="E721" s="38"/>
    </row>
    <row r="722" spans="5:5" ht="12.75" x14ac:dyDescent="0.2">
      <c r="E722" s="38"/>
    </row>
    <row r="723" spans="5:5" ht="12.75" x14ac:dyDescent="0.2">
      <c r="E723" s="38"/>
    </row>
    <row r="724" spans="5:5" ht="12.75" x14ac:dyDescent="0.2">
      <c r="E724" s="38"/>
    </row>
    <row r="725" spans="5:5" ht="12.75" x14ac:dyDescent="0.2">
      <c r="E725" s="38"/>
    </row>
    <row r="726" spans="5:5" ht="12.75" x14ac:dyDescent="0.2">
      <c r="E726" s="38"/>
    </row>
    <row r="727" spans="5:5" ht="12.75" x14ac:dyDescent="0.2">
      <c r="E727" s="38"/>
    </row>
    <row r="728" spans="5:5" ht="12.75" x14ac:dyDescent="0.2">
      <c r="E728" s="38"/>
    </row>
    <row r="729" spans="5:5" ht="12.75" x14ac:dyDescent="0.2">
      <c r="E729" s="38"/>
    </row>
    <row r="730" spans="5:5" ht="12.75" x14ac:dyDescent="0.2">
      <c r="E730" s="38"/>
    </row>
    <row r="731" spans="5:5" ht="12.75" x14ac:dyDescent="0.2">
      <c r="E731" s="38"/>
    </row>
    <row r="732" spans="5:5" ht="12.75" x14ac:dyDescent="0.2">
      <c r="E732" s="38"/>
    </row>
    <row r="733" spans="5:5" ht="12.75" x14ac:dyDescent="0.2">
      <c r="E733" s="38"/>
    </row>
    <row r="734" spans="5:5" ht="12.75" x14ac:dyDescent="0.2">
      <c r="E734" s="38"/>
    </row>
    <row r="735" spans="5:5" ht="12.75" x14ac:dyDescent="0.2">
      <c r="E735" s="38"/>
    </row>
    <row r="736" spans="5:5" ht="12.75" x14ac:dyDescent="0.2">
      <c r="E736" s="38"/>
    </row>
    <row r="737" spans="5:5" ht="12.75" x14ac:dyDescent="0.2">
      <c r="E737" s="38"/>
    </row>
    <row r="738" spans="5:5" ht="12.75" x14ac:dyDescent="0.2">
      <c r="E738" s="38"/>
    </row>
    <row r="739" spans="5:5" ht="12.75" x14ac:dyDescent="0.2">
      <c r="E739" s="38"/>
    </row>
    <row r="740" spans="5:5" ht="12.75" x14ac:dyDescent="0.2">
      <c r="E740" s="38"/>
    </row>
    <row r="741" spans="5:5" ht="12.75" x14ac:dyDescent="0.2">
      <c r="E741" s="38"/>
    </row>
    <row r="742" spans="5:5" ht="12.75" x14ac:dyDescent="0.2">
      <c r="E742" s="38"/>
    </row>
    <row r="743" spans="5:5" ht="12.75" x14ac:dyDescent="0.2">
      <c r="E743" s="38"/>
    </row>
    <row r="744" spans="5:5" ht="12.75" x14ac:dyDescent="0.2">
      <c r="E744" s="38"/>
    </row>
    <row r="745" spans="5:5" ht="12.75" x14ac:dyDescent="0.2">
      <c r="E745" s="38"/>
    </row>
    <row r="746" spans="5:5" ht="12.75" x14ac:dyDescent="0.2">
      <c r="E746" s="38"/>
    </row>
    <row r="747" spans="5:5" ht="12.75" x14ac:dyDescent="0.2">
      <c r="E747" s="38"/>
    </row>
    <row r="748" spans="5:5" ht="12.75" x14ac:dyDescent="0.2">
      <c r="E748" s="38"/>
    </row>
    <row r="749" spans="5:5" ht="12.75" x14ac:dyDescent="0.2">
      <c r="E749" s="38"/>
    </row>
    <row r="750" spans="5:5" ht="12.75" x14ac:dyDescent="0.2">
      <c r="E750" s="38"/>
    </row>
    <row r="751" spans="5:5" ht="12.75" x14ac:dyDescent="0.2">
      <c r="E751" s="38"/>
    </row>
    <row r="752" spans="5:5" ht="12.75" x14ac:dyDescent="0.2">
      <c r="E752" s="38"/>
    </row>
    <row r="753" spans="5:5" ht="12.75" x14ac:dyDescent="0.2">
      <c r="E753" s="38"/>
    </row>
    <row r="754" spans="5:5" ht="12.75" x14ac:dyDescent="0.2">
      <c r="E754" s="38"/>
    </row>
    <row r="755" spans="5:5" ht="12.75" x14ac:dyDescent="0.2">
      <c r="E755" s="38"/>
    </row>
    <row r="756" spans="5:5" ht="12.75" x14ac:dyDescent="0.2">
      <c r="E756" s="38"/>
    </row>
    <row r="757" spans="5:5" ht="12.75" x14ac:dyDescent="0.2">
      <c r="E757" s="38"/>
    </row>
    <row r="758" spans="5:5" ht="12.75" x14ac:dyDescent="0.2">
      <c r="E758" s="38"/>
    </row>
    <row r="759" spans="5:5" ht="12.75" x14ac:dyDescent="0.2">
      <c r="E759" s="38"/>
    </row>
    <row r="760" spans="5:5" ht="12.75" x14ac:dyDescent="0.2">
      <c r="E760" s="38"/>
    </row>
    <row r="761" spans="5:5" ht="12.75" x14ac:dyDescent="0.2">
      <c r="E761" s="38"/>
    </row>
    <row r="762" spans="5:5" ht="12.75" x14ac:dyDescent="0.2">
      <c r="E762" s="38"/>
    </row>
    <row r="763" spans="5:5" ht="12.75" x14ac:dyDescent="0.2">
      <c r="E763" s="38"/>
    </row>
    <row r="764" spans="5:5" ht="12.75" x14ac:dyDescent="0.2">
      <c r="E764" s="38"/>
    </row>
    <row r="765" spans="5:5" ht="12.75" x14ac:dyDescent="0.2">
      <c r="E765" s="38"/>
    </row>
    <row r="766" spans="5:5" ht="12.75" x14ac:dyDescent="0.2">
      <c r="E766" s="38"/>
    </row>
    <row r="767" spans="5:5" ht="12.75" x14ac:dyDescent="0.2">
      <c r="E767" s="38"/>
    </row>
    <row r="768" spans="5:5" ht="12.75" x14ac:dyDescent="0.2">
      <c r="E768" s="38"/>
    </row>
    <row r="769" spans="5:5" ht="12.75" x14ac:dyDescent="0.2">
      <c r="E769" s="38"/>
    </row>
    <row r="770" spans="5:5" ht="12.75" x14ac:dyDescent="0.2">
      <c r="E770" s="38"/>
    </row>
    <row r="771" spans="5:5" ht="12.75" x14ac:dyDescent="0.2">
      <c r="E771" s="38"/>
    </row>
    <row r="772" spans="5:5" ht="12.75" x14ac:dyDescent="0.2">
      <c r="E772" s="38"/>
    </row>
    <row r="773" spans="5:5" ht="12.75" x14ac:dyDescent="0.2">
      <c r="E773" s="38"/>
    </row>
    <row r="774" spans="5:5" ht="12.75" x14ac:dyDescent="0.2">
      <c r="E774" s="38"/>
    </row>
    <row r="775" spans="5:5" ht="12.75" x14ac:dyDescent="0.2">
      <c r="E775" s="38"/>
    </row>
    <row r="776" spans="5:5" ht="12.75" x14ac:dyDescent="0.2">
      <c r="E776" s="38"/>
    </row>
    <row r="777" spans="5:5" ht="12.75" x14ac:dyDescent="0.2">
      <c r="E777" s="38"/>
    </row>
    <row r="778" spans="5:5" ht="12.75" x14ac:dyDescent="0.2">
      <c r="E778" s="38"/>
    </row>
    <row r="779" spans="5:5" ht="12.75" x14ac:dyDescent="0.2">
      <c r="E779" s="38"/>
    </row>
    <row r="780" spans="5:5" ht="12.75" x14ac:dyDescent="0.2">
      <c r="E780" s="38"/>
    </row>
    <row r="781" spans="5:5" ht="12.75" x14ac:dyDescent="0.2">
      <c r="E781" s="38"/>
    </row>
    <row r="782" spans="5:5" ht="12.75" x14ac:dyDescent="0.2">
      <c r="E782" s="38"/>
    </row>
    <row r="783" spans="5:5" ht="12.75" x14ac:dyDescent="0.2">
      <c r="E783" s="38"/>
    </row>
    <row r="784" spans="5:5" ht="12.75" x14ac:dyDescent="0.2">
      <c r="E784" s="38"/>
    </row>
    <row r="785" spans="5:5" ht="12.75" x14ac:dyDescent="0.2">
      <c r="E785" s="38"/>
    </row>
    <row r="786" spans="5:5" ht="12.75" x14ac:dyDescent="0.2">
      <c r="E786" s="38"/>
    </row>
    <row r="787" spans="5:5" ht="12.75" x14ac:dyDescent="0.2">
      <c r="E787" s="38"/>
    </row>
    <row r="788" spans="5:5" ht="12.75" x14ac:dyDescent="0.2">
      <c r="E788" s="38"/>
    </row>
    <row r="789" spans="5:5" ht="12.75" x14ac:dyDescent="0.2">
      <c r="E789" s="38"/>
    </row>
    <row r="790" spans="5:5" ht="12.75" x14ac:dyDescent="0.2">
      <c r="E790" s="38"/>
    </row>
    <row r="791" spans="5:5" ht="12.75" x14ac:dyDescent="0.2">
      <c r="E791" s="38"/>
    </row>
    <row r="792" spans="5:5" ht="12.75" x14ac:dyDescent="0.2">
      <c r="E792" s="38"/>
    </row>
    <row r="793" spans="5:5" ht="12.75" x14ac:dyDescent="0.2">
      <c r="E793" s="38"/>
    </row>
    <row r="794" spans="5:5" ht="12.75" x14ac:dyDescent="0.2">
      <c r="E794" s="38"/>
    </row>
    <row r="795" spans="5:5" ht="12.75" x14ac:dyDescent="0.2">
      <c r="E795" s="38"/>
    </row>
    <row r="796" spans="5:5" ht="12.75" x14ac:dyDescent="0.2">
      <c r="E796" s="38"/>
    </row>
    <row r="797" spans="5:5" ht="12.75" x14ac:dyDescent="0.2">
      <c r="E797" s="38"/>
    </row>
    <row r="798" spans="5:5" ht="12.75" x14ac:dyDescent="0.2">
      <c r="E798" s="38"/>
    </row>
    <row r="799" spans="5:5" ht="12.75" x14ac:dyDescent="0.2">
      <c r="E799" s="38"/>
    </row>
    <row r="800" spans="5:5" ht="12.75" x14ac:dyDescent="0.2">
      <c r="E800" s="38"/>
    </row>
    <row r="801" spans="5:5" ht="12.75" x14ac:dyDescent="0.2">
      <c r="E801" s="38"/>
    </row>
    <row r="802" spans="5:5" ht="12.75" x14ac:dyDescent="0.2">
      <c r="E802" s="38"/>
    </row>
    <row r="803" spans="5:5" ht="12.75" x14ac:dyDescent="0.2">
      <c r="E803" s="38"/>
    </row>
    <row r="804" spans="5:5" ht="12.75" x14ac:dyDescent="0.2">
      <c r="E804" s="38"/>
    </row>
    <row r="805" spans="5:5" ht="12.75" x14ac:dyDescent="0.2">
      <c r="E805" s="38"/>
    </row>
    <row r="806" spans="5:5" ht="12.75" x14ac:dyDescent="0.2">
      <c r="E806" s="38"/>
    </row>
    <row r="807" spans="5:5" ht="12.75" x14ac:dyDescent="0.2">
      <c r="E807" s="38"/>
    </row>
    <row r="808" spans="5:5" ht="12.75" x14ac:dyDescent="0.2">
      <c r="E808" s="38"/>
    </row>
    <row r="809" spans="5:5" ht="12.75" x14ac:dyDescent="0.2">
      <c r="E809" s="38"/>
    </row>
    <row r="810" spans="5:5" ht="12.75" x14ac:dyDescent="0.2">
      <c r="E810" s="38"/>
    </row>
    <row r="811" spans="5:5" ht="12.75" x14ac:dyDescent="0.2">
      <c r="E811" s="38"/>
    </row>
    <row r="812" spans="5:5" ht="12.75" x14ac:dyDescent="0.2">
      <c r="E812" s="38"/>
    </row>
    <row r="813" spans="5:5" ht="12.75" x14ac:dyDescent="0.2">
      <c r="E813" s="38"/>
    </row>
    <row r="814" spans="5:5" ht="12.75" x14ac:dyDescent="0.2">
      <c r="E814" s="38"/>
    </row>
    <row r="815" spans="5:5" ht="12.75" x14ac:dyDescent="0.2">
      <c r="E815" s="38"/>
    </row>
    <row r="816" spans="5:5" ht="12.75" x14ac:dyDescent="0.2">
      <c r="E816" s="38"/>
    </row>
    <row r="817" spans="5:5" ht="12.75" x14ac:dyDescent="0.2">
      <c r="E817" s="38"/>
    </row>
    <row r="818" spans="5:5" ht="12.75" x14ac:dyDescent="0.2">
      <c r="E818" s="38"/>
    </row>
    <row r="819" spans="5:5" ht="12.75" x14ac:dyDescent="0.2">
      <c r="E819" s="38"/>
    </row>
    <row r="820" spans="5:5" ht="12.75" x14ac:dyDescent="0.2">
      <c r="E820" s="38"/>
    </row>
    <row r="821" spans="5:5" ht="12.75" x14ac:dyDescent="0.2">
      <c r="E821" s="38"/>
    </row>
    <row r="822" spans="5:5" ht="12.75" x14ac:dyDescent="0.2">
      <c r="E822" s="38"/>
    </row>
    <row r="823" spans="5:5" ht="12.75" x14ac:dyDescent="0.2">
      <c r="E823" s="38"/>
    </row>
    <row r="824" spans="5:5" ht="12.75" x14ac:dyDescent="0.2">
      <c r="E824" s="38"/>
    </row>
    <row r="825" spans="5:5" ht="12.75" x14ac:dyDescent="0.2">
      <c r="E825" s="38"/>
    </row>
    <row r="826" spans="5:5" ht="12.75" x14ac:dyDescent="0.2">
      <c r="E826" s="38"/>
    </row>
    <row r="827" spans="5:5" ht="12.75" x14ac:dyDescent="0.2">
      <c r="E827" s="38"/>
    </row>
    <row r="828" spans="5:5" ht="12.75" x14ac:dyDescent="0.2">
      <c r="E828" s="38"/>
    </row>
    <row r="829" spans="5:5" ht="12.75" x14ac:dyDescent="0.2">
      <c r="E829" s="38"/>
    </row>
    <row r="830" spans="5:5" ht="12.75" x14ac:dyDescent="0.2">
      <c r="E830" s="38"/>
    </row>
    <row r="831" spans="5:5" ht="12.75" x14ac:dyDescent="0.2">
      <c r="E831" s="38"/>
    </row>
    <row r="832" spans="5:5" ht="12.75" x14ac:dyDescent="0.2">
      <c r="E832" s="38"/>
    </row>
    <row r="833" spans="5:5" ht="12.75" x14ac:dyDescent="0.2">
      <c r="E833" s="38"/>
    </row>
    <row r="834" spans="5:5" ht="12.75" x14ac:dyDescent="0.2">
      <c r="E834" s="38"/>
    </row>
    <row r="835" spans="5:5" ht="12.75" x14ac:dyDescent="0.2">
      <c r="E835" s="38"/>
    </row>
    <row r="836" spans="5:5" ht="12.75" x14ac:dyDescent="0.2">
      <c r="E836" s="38"/>
    </row>
    <row r="837" spans="5:5" ht="12.75" x14ac:dyDescent="0.2">
      <c r="E837" s="38"/>
    </row>
    <row r="838" spans="5:5" ht="12.75" x14ac:dyDescent="0.2">
      <c r="E838" s="38"/>
    </row>
    <row r="839" spans="5:5" ht="12.75" x14ac:dyDescent="0.2">
      <c r="E839" s="38"/>
    </row>
    <row r="840" spans="5:5" ht="12.75" x14ac:dyDescent="0.2">
      <c r="E840" s="38"/>
    </row>
    <row r="841" spans="5:5" ht="12.75" x14ac:dyDescent="0.2">
      <c r="E841" s="38"/>
    </row>
    <row r="842" spans="5:5" ht="12.75" x14ac:dyDescent="0.2">
      <c r="E842" s="38"/>
    </row>
    <row r="843" spans="5:5" ht="12.75" x14ac:dyDescent="0.2">
      <c r="E843" s="38"/>
    </row>
    <row r="844" spans="5:5" ht="12.75" x14ac:dyDescent="0.2">
      <c r="E844" s="38"/>
    </row>
    <row r="845" spans="5:5" ht="12.75" x14ac:dyDescent="0.2">
      <c r="E845" s="38"/>
    </row>
    <row r="846" spans="5:5" ht="12.75" x14ac:dyDescent="0.2">
      <c r="E846" s="38"/>
    </row>
    <row r="847" spans="5:5" ht="12.75" x14ac:dyDescent="0.2">
      <c r="E847" s="38"/>
    </row>
    <row r="848" spans="5:5" ht="12.75" x14ac:dyDescent="0.2">
      <c r="E848" s="38"/>
    </row>
    <row r="849" spans="5:5" ht="12.75" x14ac:dyDescent="0.2">
      <c r="E849" s="38"/>
    </row>
    <row r="850" spans="5:5" ht="12.75" x14ac:dyDescent="0.2">
      <c r="E850" s="38"/>
    </row>
    <row r="851" spans="5:5" ht="12.75" x14ac:dyDescent="0.2">
      <c r="E851" s="38"/>
    </row>
    <row r="852" spans="5:5" ht="12.75" x14ac:dyDescent="0.2">
      <c r="E852" s="38"/>
    </row>
    <row r="853" spans="5:5" ht="12.75" x14ac:dyDescent="0.2">
      <c r="E853" s="38"/>
    </row>
    <row r="854" spans="5:5" ht="12.75" x14ac:dyDescent="0.2">
      <c r="E854" s="38"/>
    </row>
    <row r="855" spans="5:5" ht="12.75" x14ac:dyDescent="0.2">
      <c r="E855" s="38"/>
    </row>
    <row r="856" spans="5:5" ht="12.75" x14ac:dyDescent="0.2">
      <c r="E856" s="38"/>
    </row>
    <row r="857" spans="5:5" ht="12.75" x14ac:dyDescent="0.2">
      <c r="E857" s="38"/>
    </row>
    <row r="858" spans="5:5" ht="12.75" x14ac:dyDescent="0.2">
      <c r="E858" s="38"/>
    </row>
    <row r="859" spans="5:5" ht="12.75" x14ac:dyDescent="0.2">
      <c r="E859" s="38"/>
    </row>
    <row r="860" spans="5:5" ht="12.75" x14ac:dyDescent="0.2">
      <c r="E860" s="38"/>
    </row>
    <row r="861" spans="5:5" ht="12.75" x14ac:dyDescent="0.2">
      <c r="E861" s="38"/>
    </row>
    <row r="862" spans="5:5" ht="12.75" x14ac:dyDescent="0.2">
      <c r="E862" s="38"/>
    </row>
    <row r="863" spans="5:5" ht="12.75" x14ac:dyDescent="0.2">
      <c r="E863" s="38"/>
    </row>
    <row r="864" spans="5:5" ht="12.75" x14ac:dyDescent="0.2">
      <c r="E864" s="38"/>
    </row>
    <row r="865" spans="5:5" ht="12.75" x14ac:dyDescent="0.2">
      <c r="E865" s="38"/>
    </row>
    <row r="866" spans="5:5" ht="12.75" x14ac:dyDescent="0.2">
      <c r="E866" s="38"/>
    </row>
    <row r="867" spans="5:5" ht="12.75" x14ac:dyDescent="0.2">
      <c r="E867" s="38"/>
    </row>
    <row r="868" spans="5:5" ht="12.75" x14ac:dyDescent="0.2">
      <c r="E868" s="38"/>
    </row>
    <row r="869" spans="5:5" ht="12.75" x14ac:dyDescent="0.2">
      <c r="E869" s="38"/>
    </row>
    <row r="870" spans="5:5" ht="12.75" x14ac:dyDescent="0.2">
      <c r="E870" s="38"/>
    </row>
    <row r="871" spans="5:5" ht="12.75" x14ac:dyDescent="0.2">
      <c r="E871" s="38"/>
    </row>
    <row r="872" spans="5:5" ht="12.75" x14ac:dyDescent="0.2">
      <c r="E872" s="38"/>
    </row>
    <row r="873" spans="5:5" ht="12.75" x14ac:dyDescent="0.2">
      <c r="E873" s="38"/>
    </row>
    <row r="874" spans="5:5" ht="12.75" x14ac:dyDescent="0.2">
      <c r="E874" s="38"/>
    </row>
    <row r="875" spans="5:5" ht="12.75" x14ac:dyDescent="0.2">
      <c r="E875" s="38"/>
    </row>
    <row r="876" spans="5:5" ht="12.75" x14ac:dyDescent="0.2">
      <c r="E876" s="38"/>
    </row>
    <row r="877" spans="5:5" ht="12.75" x14ac:dyDescent="0.2">
      <c r="E877" s="38"/>
    </row>
    <row r="878" spans="5:5" ht="12.75" x14ac:dyDescent="0.2">
      <c r="E878" s="38"/>
    </row>
    <row r="879" spans="5:5" ht="12.75" x14ac:dyDescent="0.2">
      <c r="E879" s="38"/>
    </row>
    <row r="880" spans="5:5" ht="12.75" x14ac:dyDescent="0.2">
      <c r="E880" s="38"/>
    </row>
    <row r="881" spans="5:5" ht="12.75" x14ac:dyDescent="0.2">
      <c r="E881" s="38"/>
    </row>
    <row r="882" spans="5:5" ht="12.75" x14ac:dyDescent="0.2">
      <c r="E882" s="38"/>
    </row>
    <row r="883" spans="5:5" ht="12.75" x14ac:dyDescent="0.2">
      <c r="E883" s="38"/>
    </row>
    <row r="884" spans="5:5" ht="12.75" x14ac:dyDescent="0.2">
      <c r="E884" s="38"/>
    </row>
    <row r="885" spans="5:5" ht="12.75" x14ac:dyDescent="0.2">
      <c r="E885" s="38"/>
    </row>
    <row r="886" spans="5:5" ht="12.75" x14ac:dyDescent="0.2">
      <c r="E886" s="38"/>
    </row>
    <row r="887" spans="5:5" ht="12.75" x14ac:dyDescent="0.2">
      <c r="E887" s="38"/>
    </row>
    <row r="888" spans="5:5" ht="12.75" x14ac:dyDescent="0.2">
      <c r="E888" s="38"/>
    </row>
    <row r="889" spans="5:5" ht="12.75" x14ac:dyDescent="0.2">
      <c r="E889" s="38"/>
    </row>
    <row r="890" spans="5:5" ht="12.75" x14ac:dyDescent="0.2">
      <c r="E890" s="38"/>
    </row>
    <row r="891" spans="5:5" ht="12.75" x14ac:dyDescent="0.2">
      <c r="E891" s="38"/>
    </row>
    <row r="892" spans="5:5" ht="12.75" x14ac:dyDescent="0.2">
      <c r="E892" s="38"/>
    </row>
    <row r="893" spans="5:5" ht="12.75" x14ac:dyDescent="0.2">
      <c r="E893" s="38"/>
    </row>
    <row r="894" spans="5:5" ht="12.75" x14ac:dyDescent="0.2">
      <c r="E894" s="38"/>
    </row>
    <row r="895" spans="5:5" ht="12.75" x14ac:dyDescent="0.2">
      <c r="E895" s="38"/>
    </row>
    <row r="896" spans="5:5" ht="12.75" x14ac:dyDescent="0.2">
      <c r="E896" s="38"/>
    </row>
    <row r="897" spans="5:5" ht="12.75" x14ac:dyDescent="0.2">
      <c r="E897" s="38"/>
    </row>
    <row r="898" spans="5:5" ht="12.75" x14ac:dyDescent="0.2">
      <c r="E898" s="38"/>
    </row>
    <row r="899" spans="5:5" ht="12.75" x14ac:dyDescent="0.2">
      <c r="E899" s="38"/>
    </row>
    <row r="900" spans="5:5" ht="12.75" x14ac:dyDescent="0.2">
      <c r="E900" s="38"/>
    </row>
    <row r="901" spans="5:5" ht="12.75" x14ac:dyDescent="0.2">
      <c r="E901" s="38"/>
    </row>
    <row r="902" spans="5:5" ht="12.75" x14ac:dyDescent="0.2">
      <c r="E902" s="38"/>
    </row>
    <row r="903" spans="5:5" ht="12.75" x14ac:dyDescent="0.2">
      <c r="E903" s="38"/>
    </row>
    <row r="904" spans="5:5" ht="12.75" x14ac:dyDescent="0.2">
      <c r="E904" s="38"/>
    </row>
    <row r="905" spans="5:5" ht="12.75" x14ac:dyDescent="0.2">
      <c r="E905" s="38"/>
    </row>
    <row r="906" spans="5:5" ht="12.75" x14ac:dyDescent="0.2">
      <c r="E906" s="38"/>
    </row>
    <row r="907" spans="5:5" ht="12.75" x14ac:dyDescent="0.2">
      <c r="E907" s="38"/>
    </row>
    <row r="908" spans="5:5" ht="12.75" x14ac:dyDescent="0.2">
      <c r="E908" s="38"/>
    </row>
    <row r="909" spans="5:5" ht="12.75" x14ac:dyDescent="0.2">
      <c r="E909" s="38"/>
    </row>
    <row r="910" spans="5:5" ht="12.75" x14ac:dyDescent="0.2">
      <c r="E910" s="38"/>
    </row>
    <row r="911" spans="5:5" ht="12.75" x14ac:dyDescent="0.2">
      <c r="E911" s="38"/>
    </row>
    <row r="912" spans="5:5" ht="12.75" x14ac:dyDescent="0.2">
      <c r="E912" s="38"/>
    </row>
    <row r="913" spans="5:5" ht="12.75" x14ac:dyDescent="0.2">
      <c r="E913" s="38"/>
    </row>
    <row r="914" spans="5:5" ht="12.75" x14ac:dyDescent="0.2">
      <c r="E914" s="38"/>
    </row>
    <row r="915" spans="5:5" ht="12.75" x14ac:dyDescent="0.2">
      <c r="E915" s="38"/>
    </row>
    <row r="916" spans="5:5" ht="12.75" x14ac:dyDescent="0.2">
      <c r="E916" s="38"/>
    </row>
    <row r="917" spans="5:5" ht="12.75" x14ac:dyDescent="0.2">
      <c r="E917" s="38"/>
    </row>
    <row r="918" spans="5:5" ht="12.75" x14ac:dyDescent="0.2">
      <c r="E918" s="38"/>
    </row>
    <row r="919" spans="5:5" ht="12.75" x14ac:dyDescent="0.2">
      <c r="E919" s="38"/>
    </row>
    <row r="920" spans="5:5" ht="12.75" x14ac:dyDescent="0.2">
      <c r="E920" s="38"/>
    </row>
    <row r="921" spans="5:5" ht="12.75" x14ac:dyDescent="0.2">
      <c r="E921" s="38"/>
    </row>
    <row r="922" spans="5:5" ht="12.75" x14ac:dyDescent="0.2">
      <c r="E922" s="38"/>
    </row>
    <row r="923" spans="5:5" ht="12.75" x14ac:dyDescent="0.2">
      <c r="E923" s="38"/>
    </row>
    <row r="924" spans="5:5" ht="12.75" x14ac:dyDescent="0.2">
      <c r="E924" s="38"/>
    </row>
    <row r="925" spans="5:5" ht="12.75" x14ac:dyDescent="0.2">
      <c r="E925" s="38"/>
    </row>
    <row r="926" spans="5:5" ht="12.75" x14ac:dyDescent="0.2">
      <c r="E926" s="38"/>
    </row>
    <row r="927" spans="5:5" ht="12.75" x14ac:dyDescent="0.2">
      <c r="E927" s="38"/>
    </row>
    <row r="928" spans="5:5" ht="12.75" x14ac:dyDescent="0.2">
      <c r="E928" s="38"/>
    </row>
    <row r="929" spans="5:5" ht="12.75" x14ac:dyDescent="0.2">
      <c r="E929" s="38"/>
    </row>
    <row r="930" spans="5:5" ht="12.75" x14ac:dyDescent="0.2">
      <c r="E930" s="38"/>
    </row>
    <row r="931" spans="5:5" ht="12.75" x14ac:dyDescent="0.2">
      <c r="E931" s="38"/>
    </row>
    <row r="932" spans="5:5" ht="12.75" x14ac:dyDescent="0.2">
      <c r="E932" s="38"/>
    </row>
    <row r="933" spans="5:5" ht="12.75" x14ac:dyDescent="0.2">
      <c r="E933" s="38"/>
    </row>
    <row r="934" spans="5:5" ht="12.75" x14ac:dyDescent="0.2">
      <c r="E934" s="38"/>
    </row>
    <row r="935" spans="5:5" ht="12.75" x14ac:dyDescent="0.2">
      <c r="E935" s="38"/>
    </row>
    <row r="936" spans="5:5" ht="12.75" x14ac:dyDescent="0.2">
      <c r="E936" s="38"/>
    </row>
    <row r="937" spans="5:5" ht="12.75" x14ac:dyDescent="0.2">
      <c r="E937" s="38"/>
    </row>
    <row r="938" spans="5:5" ht="12.75" x14ac:dyDescent="0.2">
      <c r="E938" s="38"/>
    </row>
    <row r="939" spans="5:5" ht="12.75" x14ac:dyDescent="0.2">
      <c r="E939" s="38"/>
    </row>
    <row r="940" spans="5:5" ht="12.75" x14ac:dyDescent="0.2">
      <c r="E940" s="38"/>
    </row>
    <row r="941" spans="5:5" ht="12.75" x14ac:dyDescent="0.2">
      <c r="E941" s="38"/>
    </row>
    <row r="942" spans="5:5" ht="12.75" x14ac:dyDescent="0.2">
      <c r="E942" s="38"/>
    </row>
    <row r="943" spans="5:5" ht="12.75" x14ac:dyDescent="0.2">
      <c r="E943" s="38"/>
    </row>
    <row r="944" spans="5:5" ht="12.75" x14ac:dyDescent="0.2">
      <c r="E944" s="38"/>
    </row>
    <row r="945" spans="5:5" ht="12.75" x14ac:dyDescent="0.2">
      <c r="E945" s="38"/>
    </row>
    <row r="946" spans="5:5" ht="12.75" x14ac:dyDescent="0.2">
      <c r="E946" s="38"/>
    </row>
    <row r="947" spans="5:5" ht="12.75" x14ac:dyDescent="0.2">
      <c r="E947" s="38"/>
    </row>
    <row r="948" spans="5:5" ht="12.75" x14ac:dyDescent="0.2">
      <c r="E948" s="38"/>
    </row>
    <row r="949" spans="5:5" ht="12.75" x14ac:dyDescent="0.2">
      <c r="E949" s="38"/>
    </row>
    <row r="950" spans="5:5" ht="12.75" x14ac:dyDescent="0.2">
      <c r="E950" s="38"/>
    </row>
    <row r="951" spans="5:5" ht="12.75" x14ac:dyDescent="0.2">
      <c r="E951" s="38"/>
    </row>
    <row r="952" spans="5:5" ht="12.75" x14ac:dyDescent="0.2">
      <c r="E952" s="38"/>
    </row>
    <row r="953" spans="5:5" ht="12.75" x14ac:dyDescent="0.2">
      <c r="E953" s="38"/>
    </row>
    <row r="954" spans="5:5" ht="12.75" x14ac:dyDescent="0.2">
      <c r="E954" s="38"/>
    </row>
    <row r="955" spans="5:5" ht="12.75" x14ac:dyDescent="0.2">
      <c r="E955" s="38"/>
    </row>
    <row r="956" spans="5:5" ht="12.75" x14ac:dyDescent="0.2">
      <c r="E956" s="38"/>
    </row>
    <row r="957" spans="5:5" ht="12.75" x14ac:dyDescent="0.2">
      <c r="E957" s="38"/>
    </row>
    <row r="958" spans="5:5" ht="12.75" x14ac:dyDescent="0.2">
      <c r="E958" s="38"/>
    </row>
    <row r="959" spans="5:5" ht="12.75" x14ac:dyDescent="0.2">
      <c r="E959" s="38"/>
    </row>
    <row r="960" spans="5:5" ht="12.75" x14ac:dyDescent="0.2">
      <c r="E960" s="38"/>
    </row>
    <row r="961" spans="5:5" ht="12.75" x14ac:dyDescent="0.2">
      <c r="E961" s="38"/>
    </row>
    <row r="962" spans="5:5" ht="12.75" x14ac:dyDescent="0.2">
      <c r="E962" s="38"/>
    </row>
    <row r="963" spans="5:5" ht="12.75" x14ac:dyDescent="0.2">
      <c r="E963" s="38"/>
    </row>
    <row r="964" spans="5:5" ht="12.75" x14ac:dyDescent="0.2">
      <c r="E964" s="38"/>
    </row>
    <row r="965" spans="5:5" ht="12.75" x14ac:dyDescent="0.2">
      <c r="E965" s="38"/>
    </row>
    <row r="966" spans="5:5" ht="12.75" x14ac:dyDescent="0.2">
      <c r="E966" s="38"/>
    </row>
    <row r="967" spans="5:5" ht="12.75" x14ac:dyDescent="0.2">
      <c r="E967" s="38"/>
    </row>
    <row r="968" spans="5:5" ht="12.75" x14ac:dyDescent="0.2">
      <c r="E968" s="38"/>
    </row>
    <row r="969" spans="5:5" ht="12.75" x14ac:dyDescent="0.2">
      <c r="E969" s="38"/>
    </row>
    <row r="970" spans="5:5" ht="12.75" x14ac:dyDescent="0.2">
      <c r="E970" s="38"/>
    </row>
    <row r="971" spans="5:5" ht="12.75" x14ac:dyDescent="0.2">
      <c r="E971" s="38"/>
    </row>
    <row r="972" spans="5:5" ht="12.75" x14ac:dyDescent="0.2">
      <c r="E972" s="38"/>
    </row>
    <row r="973" spans="5:5" ht="12.75" x14ac:dyDescent="0.2">
      <c r="E973" s="38"/>
    </row>
    <row r="974" spans="5:5" ht="12.75" x14ac:dyDescent="0.2">
      <c r="E974" s="38"/>
    </row>
    <row r="975" spans="5:5" ht="12.75" x14ac:dyDescent="0.2">
      <c r="E975" s="38"/>
    </row>
    <row r="976" spans="5:5" ht="12.75" x14ac:dyDescent="0.2">
      <c r="E976" s="38"/>
    </row>
    <row r="977" spans="5:5" ht="12.75" x14ac:dyDescent="0.2">
      <c r="E977" s="38"/>
    </row>
    <row r="978" spans="5:5" ht="12.75" x14ac:dyDescent="0.2">
      <c r="E978" s="38"/>
    </row>
    <row r="979" spans="5:5" ht="12.75" x14ac:dyDescent="0.2">
      <c r="E979" s="38"/>
    </row>
    <row r="980" spans="5:5" ht="12.75" x14ac:dyDescent="0.2">
      <c r="E980" s="38"/>
    </row>
    <row r="981" spans="5:5" ht="12.75" x14ac:dyDescent="0.2">
      <c r="E981" s="38"/>
    </row>
    <row r="982" spans="5:5" ht="12.75" x14ac:dyDescent="0.2">
      <c r="E982" s="38"/>
    </row>
    <row r="983" spans="5:5" ht="12.75" x14ac:dyDescent="0.2">
      <c r="E983" s="38"/>
    </row>
    <row r="984" spans="5:5" ht="12.75" x14ac:dyDescent="0.2">
      <c r="E984" s="38"/>
    </row>
    <row r="985" spans="5:5" ht="12.75" x14ac:dyDescent="0.2">
      <c r="E985" s="38"/>
    </row>
    <row r="986" spans="5:5" ht="12.75" x14ac:dyDescent="0.2">
      <c r="E986" s="38"/>
    </row>
    <row r="987" spans="5:5" ht="12.75" x14ac:dyDescent="0.2">
      <c r="E987" s="38"/>
    </row>
    <row r="988" spans="5:5" ht="12.75" x14ac:dyDescent="0.2">
      <c r="E988" s="38"/>
    </row>
    <row r="989" spans="5:5" ht="12.75" x14ac:dyDescent="0.2">
      <c r="E989" s="38"/>
    </row>
    <row r="990" spans="5:5" ht="12.75" x14ac:dyDescent="0.2">
      <c r="E990" s="38"/>
    </row>
    <row r="991" spans="5:5" ht="12.75" x14ac:dyDescent="0.2">
      <c r="E991" s="38"/>
    </row>
    <row r="992" spans="5:5" ht="12.75" x14ac:dyDescent="0.2">
      <c r="E992" s="38"/>
    </row>
    <row r="993" spans="5:5" ht="12.75" x14ac:dyDescent="0.2">
      <c r="E993" s="38"/>
    </row>
    <row r="994" spans="5:5" ht="12.75" x14ac:dyDescent="0.2">
      <c r="E994" s="38"/>
    </row>
  </sheetData>
  <mergeCells count="18">
    <mergeCell ref="A1:Q1"/>
    <mergeCell ref="A2:A4"/>
    <mergeCell ref="B2:B4"/>
    <mergeCell ref="C2:C4"/>
    <mergeCell ref="D2:D4"/>
    <mergeCell ref="E2:E4"/>
    <mergeCell ref="F2:F4"/>
    <mergeCell ref="Q2:Q4"/>
    <mergeCell ref="L2:L4"/>
    <mergeCell ref="M2:M4"/>
    <mergeCell ref="N2:N4"/>
    <mergeCell ref="O2:O4"/>
    <mergeCell ref="P2:P4"/>
    <mergeCell ref="G2:G4"/>
    <mergeCell ref="H2:H4"/>
    <mergeCell ref="I2:I4"/>
    <mergeCell ref="J2:J4"/>
    <mergeCell ref="K2:K4"/>
  </mergeCells>
  <dataValidations count="1">
    <dataValidation type="list" allowBlank="1" showErrorMessage="1" sqref="J5:J62 N5:N67 J64:J92" xr:uid="{00000000-0002-0000-0300-000000000000}">
      <formula1>"Yes,No"</formula1>
    </dataValidation>
  </dataValidations>
  <hyperlinks>
    <hyperlink ref="A2"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V103"/>
  <sheetViews>
    <sheetView workbookViewId="0">
      <pane ySplit="4" topLeftCell="A5" activePane="bottomLeft" state="frozen"/>
      <selection pane="bottomLeft" activeCell="B6" sqref="B6"/>
    </sheetView>
  </sheetViews>
  <sheetFormatPr defaultColWidth="12.5703125" defaultRowHeight="15.75" customHeight="1" x14ac:dyDescent="0.2"/>
  <cols>
    <col min="2" max="2" width="17" customWidth="1"/>
    <col min="9" max="9" width="38.42578125" customWidth="1"/>
    <col min="10" max="10" width="19.5703125" customWidth="1"/>
    <col min="12" max="12" width="28.140625" customWidth="1"/>
    <col min="32" max="32" width="26.28515625" customWidth="1"/>
  </cols>
  <sheetData>
    <row r="1" spans="1:100" ht="12.75" x14ac:dyDescent="0.2">
      <c r="A1" s="127" t="s">
        <v>1226</v>
      </c>
      <c r="B1" s="127" t="s">
        <v>1227</v>
      </c>
      <c r="C1" s="128" t="s">
        <v>2</v>
      </c>
      <c r="D1" s="129" t="s">
        <v>1228</v>
      </c>
      <c r="E1" s="108"/>
      <c r="F1" s="108"/>
      <c r="G1" s="108"/>
      <c r="H1" s="109"/>
      <c r="I1" s="130" t="s">
        <v>1229</v>
      </c>
      <c r="J1" s="108"/>
      <c r="K1" s="108"/>
      <c r="L1" s="108"/>
      <c r="M1" s="108"/>
      <c r="N1" s="108"/>
      <c r="O1" s="108"/>
      <c r="P1" s="109"/>
      <c r="Q1" s="129" t="s">
        <v>1230</v>
      </c>
      <c r="R1" s="108"/>
      <c r="S1" s="108"/>
      <c r="T1" s="108"/>
      <c r="U1" s="108"/>
      <c r="V1" s="108"/>
      <c r="W1" s="108"/>
      <c r="X1" s="108"/>
      <c r="Y1" s="108"/>
      <c r="Z1" s="108"/>
      <c r="AA1" s="108"/>
      <c r="AB1" s="108"/>
      <c r="AC1" s="108"/>
      <c r="AD1" s="109"/>
      <c r="AE1" s="131" t="s">
        <v>1231</v>
      </c>
      <c r="AF1" s="108"/>
      <c r="AG1" s="108"/>
      <c r="AH1" s="108"/>
      <c r="AI1" s="108"/>
      <c r="AJ1" s="108"/>
      <c r="AK1" s="109"/>
      <c r="AL1" s="99"/>
      <c r="AM1" s="129">
        <v>0</v>
      </c>
      <c r="AN1" s="108"/>
      <c r="AO1" s="108"/>
      <c r="AP1" s="108"/>
      <c r="AQ1" s="108"/>
      <c r="AR1" s="108"/>
      <c r="AS1" s="108"/>
      <c r="AT1" s="108"/>
      <c r="AU1" s="108"/>
      <c r="AV1" s="108"/>
      <c r="AW1" s="108"/>
      <c r="AX1" s="108"/>
      <c r="AY1" s="108"/>
      <c r="AZ1" s="108"/>
      <c r="BA1" s="108"/>
      <c r="BB1" s="108"/>
      <c r="BC1" s="109"/>
      <c r="BD1" s="130" t="s">
        <v>1232</v>
      </c>
      <c r="BE1" s="108"/>
      <c r="BF1" s="108"/>
      <c r="BG1" s="108"/>
      <c r="BH1" s="108"/>
      <c r="BI1" s="108"/>
      <c r="BJ1" s="108"/>
      <c r="BK1" s="108"/>
      <c r="BL1" s="108"/>
      <c r="BM1" s="109"/>
      <c r="BN1" s="129" t="s">
        <v>1233</v>
      </c>
      <c r="BO1" s="108"/>
      <c r="BP1" s="108"/>
      <c r="BQ1" s="108"/>
      <c r="BR1" s="108"/>
      <c r="BS1" s="108"/>
      <c r="BT1" s="108"/>
      <c r="BU1" s="108"/>
      <c r="BV1" s="108"/>
      <c r="BW1" s="108"/>
      <c r="BX1" s="108"/>
      <c r="BY1" s="108"/>
      <c r="BZ1" s="108"/>
      <c r="CA1" s="108"/>
      <c r="CB1" s="108"/>
      <c r="CC1" s="109"/>
      <c r="CD1" s="130" t="s">
        <v>1234</v>
      </c>
      <c r="CE1" s="108"/>
      <c r="CF1" s="108"/>
      <c r="CG1" s="108"/>
      <c r="CH1" s="108"/>
      <c r="CI1" s="108"/>
      <c r="CJ1" s="108"/>
      <c r="CK1" s="109"/>
      <c r="CL1" s="129" t="s">
        <v>1235</v>
      </c>
      <c r="CM1" s="108"/>
      <c r="CN1" s="108"/>
      <c r="CO1" s="108"/>
      <c r="CP1" s="108"/>
      <c r="CQ1" s="108"/>
      <c r="CR1" s="108"/>
      <c r="CS1" s="108"/>
      <c r="CT1" s="108"/>
      <c r="CU1" s="109"/>
      <c r="CV1" s="100"/>
    </row>
    <row r="2" spans="1:100" ht="12.75" x14ac:dyDescent="0.2">
      <c r="A2" s="120"/>
      <c r="B2" s="120"/>
      <c r="C2" s="120"/>
      <c r="D2" s="127" t="s">
        <v>1236</v>
      </c>
      <c r="E2" s="127" t="s">
        <v>1237</v>
      </c>
      <c r="F2" s="127" t="s">
        <v>1238</v>
      </c>
      <c r="G2" s="127" t="s">
        <v>1239</v>
      </c>
      <c r="H2" s="127" t="s">
        <v>1240</v>
      </c>
      <c r="I2" s="127" t="s">
        <v>1241</v>
      </c>
      <c r="J2" s="127" t="s">
        <v>1242</v>
      </c>
      <c r="K2" s="127" t="s">
        <v>1241</v>
      </c>
      <c r="L2" s="127" t="s">
        <v>1242</v>
      </c>
      <c r="M2" s="127" t="s">
        <v>1241</v>
      </c>
      <c r="N2" s="127" t="s">
        <v>1242</v>
      </c>
      <c r="O2" s="127" t="s">
        <v>1241</v>
      </c>
      <c r="P2" s="127" t="s">
        <v>1242</v>
      </c>
      <c r="Q2" s="126" t="s">
        <v>1236</v>
      </c>
      <c r="R2" s="126" t="s">
        <v>1237</v>
      </c>
      <c r="S2" s="126" t="s">
        <v>1238</v>
      </c>
      <c r="T2" s="126" t="s">
        <v>1243</v>
      </c>
      <c r="U2" s="126" t="s">
        <v>1239</v>
      </c>
      <c r="V2" s="126" t="s">
        <v>1240</v>
      </c>
      <c r="W2" s="126" t="s">
        <v>1040</v>
      </c>
      <c r="X2" s="126" t="s">
        <v>1034</v>
      </c>
      <c r="Y2" s="126" t="s">
        <v>1037</v>
      </c>
      <c r="Z2" s="126" t="s">
        <v>1244</v>
      </c>
      <c r="AA2" s="126" t="s">
        <v>1245</v>
      </c>
      <c r="AB2" s="126" t="s">
        <v>1246</v>
      </c>
      <c r="AC2" s="126" t="s">
        <v>1044</v>
      </c>
      <c r="AD2" s="126" t="s">
        <v>1247</v>
      </c>
      <c r="AE2" s="127" t="s">
        <v>1241</v>
      </c>
      <c r="AF2" s="127" t="s">
        <v>1242</v>
      </c>
      <c r="AG2" s="127" t="s">
        <v>1241</v>
      </c>
      <c r="AH2" s="127" t="s">
        <v>1242</v>
      </c>
      <c r="AI2" s="127" t="s">
        <v>1241</v>
      </c>
      <c r="AJ2" s="127" t="s">
        <v>1242</v>
      </c>
      <c r="AK2" s="127" t="s">
        <v>1241</v>
      </c>
      <c r="AL2" s="127" t="s">
        <v>1242</v>
      </c>
      <c r="AM2" s="126" t="s">
        <v>1236</v>
      </c>
      <c r="AN2" s="126" t="s">
        <v>1237</v>
      </c>
      <c r="AO2" s="126" t="s">
        <v>1238</v>
      </c>
      <c r="AP2" s="126" t="s">
        <v>1243</v>
      </c>
      <c r="AQ2" s="126" t="s">
        <v>1239</v>
      </c>
      <c r="AR2" s="126" t="s">
        <v>1240</v>
      </c>
      <c r="AS2" s="126" t="s">
        <v>1040</v>
      </c>
      <c r="AT2" s="126" t="s">
        <v>1034</v>
      </c>
      <c r="AU2" s="126" t="s">
        <v>1037</v>
      </c>
      <c r="AV2" s="126" t="s">
        <v>1248</v>
      </c>
      <c r="AW2" s="126" t="s">
        <v>1249</v>
      </c>
      <c r="AX2" s="126" t="s">
        <v>1250</v>
      </c>
      <c r="AY2" s="126" t="s">
        <v>1251</v>
      </c>
      <c r="AZ2" s="126" t="s">
        <v>1252</v>
      </c>
      <c r="BA2" s="126" t="s">
        <v>1253</v>
      </c>
      <c r="BB2" s="132" t="s">
        <v>1254</v>
      </c>
      <c r="BC2" s="127" t="s">
        <v>1255</v>
      </c>
      <c r="BD2" s="127" t="s">
        <v>1241</v>
      </c>
      <c r="BE2" s="127" t="s">
        <v>1242</v>
      </c>
      <c r="BF2" s="127" t="s">
        <v>1241</v>
      </c>
      <c r="BG2" s="127" t="s">
        <v>1242</v>
      </c>
      <c r="BH2" s="127" t="s">
        <v>1241</v>
      </c>
      <c r="BI2" s="127" t="s">
        <v>1242</v>
      </c>
      <c r="BJ2" s="127" t="s">
        <v>1241</v>
      </c>
      <c r="BK2" s="127" t="s">
        <v>1242</v>
      </c>
      <c r="BL2" s="127" t="s">
        <v>1241</v>
      </c>
      <c r="BM2" s="127" t="s">
        <v>1242</v>
      </c>
      <c r="BN2" s="126" t="s">
        <v>1236</v>
      </c>
      <c r="BO2" s="126" t="s">
        <v>1237</v>
      </c>
      <c r="BP2" s="126" t="s">
        <v>1238</v>
      </c>
      <c r="BQ2" s="126" t="s">
        <v>1243</v>
      </c>
      <c r="BR2" s="126" t="s">
        <v>1239</v>
      </c>
      <c r="BS2" s="126" t="s">
        <v>1240</v>
      </c>
      <c r="BT2" s="126" t="s">
        <v>1248</v>
      </c>
      <c r="BU2" s="126" t="s">
        <v>1249</v>
      </c>
      <c r="BV2" s="126" t="s">
        <v>1250</v>
      </c>
      <c r="BW2" s="126" t="s">
        <v>1251</v>
      </c>
      <c r="BX2" s="126" t="s">
        <v>1252</v>
      </c>
      <c r="BY2" s="126" t="s">
        <v>1253</v>
      </c>
      <c r="BZ2" s="132" t="s">
        <v>1254</v>
      </c>
      <c r="CA2" s="127" t="s">
        <v>1255</v>
      </c>
      <c r="CB2" s="132" t="s">
        <v>1256</v>
      </c>
      <c r="CC2" s="132" t="s">
        <v>1257</v>
      </c>
      <c r="CD2" s="127" t="s">
        <v>1241</v>
      </c>
      <c r="CE2" s="127" t="s">
        <v>1242</v>
      </c>
      <c r="CF2" s="127" t="s">
        <v>1241</v>
      </c>
      <c r="CG2" s="127" t="s">
        <v>1242</v>
      </c>
      <c r="CH2" s="127" t="s">
        <v>1241</v>
      </c>
      <c r="CI2" s="127" t="s">
        <v>1242</v>
      </c>
      <c r="CJ2" s="127" t="s">
        <v>1241</v>
      </c>
      <c r="CK2" s="127" t="s">
        <v>1242</v>
      </c>
      <c r="CL2" s="126" t="s">
        <v>1236</v>
      </c>
      <c r="CM2" s="126" t="s">
        <v>1237</v>
      </c>
      <c r="CN2" s="126" t="s">
        <v>1238</v>
      </c>
      <c r="CO2" s="126" t="s">
        <v>1243</v>
      </c>
      <c r="CP2" s="126" t="s">
        <v>1239</v>
      </c>
      <c r="CQ2" s="126" t="s">
        <v>1240</v>
      </c>
      <c r="CR2" s="126" t="s">
        <v>1258</v>
      </c>
      <c r="CS2" s="126" t="s">
        <v>1259</v>
      </c>
      <c r="CT2" s="126" t="s">
        <v>1260</v>
      </c>
      <c r="CU2" s="126" t="s">
        <v>1261</v>
      </c>
      <c r="CV2" s="101"/>
    </row>
    <row r="3" spans="1:100" ht="12.75" x14ac:dyDescent="0.2">
      <c r="A3" s="120"/>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01"/>
    </row>
    <row r="4" spans="1:100" ht="68.25" customHeight="1" x14ac:dyDescent="0.2">
      <c r="A4" s="121"/>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c r="BZ4" s="121"/>
      <c r="CA4" s="121"/>
      <c r="CB4" s="121"/>
      <c r="CC4" s="121"/>
      <c r="CD4" s="121"/>
      <c r="CE4" s="121"/>
      <c r="CF4" s="121"/>
      <c r="CG4" s="121"/>
      <c r="CH4" s="121"/>
      <c r="CI4" s="121"/>
      <c r="CJ4" s="121"/>
      <c r="CK4" s="121"/>
      <c r="CL4" s="121"/>
      <c r="CM4" s="121"/>
      <c r="CN4" s="121"/>
      <c r="CO4" s="121"/>
      <c r="CP4" s="121"/>
      <c r="CQ4" s="121"/>
      <c r="CR4" s="121"/>
      <c r="CS4" s="121"/>
      <c r="CT4" s="121"/>
      <c r="CU4" s="121"/>
      <c r="CV4" s="101"/>
    </row>
    <row r="5" spans="1:100" ht="12.75" hidden="1" x14ac:dyDescent="0.2">
      <c r="A5" s="102" t="s">
        <v>41</v>
      </c>
      <c r="B5" s="102" t="s">
        <v>42</v>
      </c>
      <c r="C5" s="102" t="s">
        <v>43</v>
      </c>
      <c r="D5" s="102"/>
      <c r="E5" s="102"/>
      <c r="F5" s="102"/>
      <c r="G5" s="102"/>
      <c r="H5" s="102"/>
      <c r="I5" s="102"/>
      <c r="J5" s="103"/>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v>10</v>
      </c>
      <c r="BU5" s="102" t="s">
        <v>1262</v>
      </c>
      <c r="BV5" s="102"/>
      <c r="BW5" s="102"/>
      <c r="BX5" s="102"/>
      <c r="BY5" s="102"/>
      <c r="BZ5" s="102"/>
      <c r="CA5" s="102"/>
      <c r="CB5" s="102"/>
      <c r="CC5" s="102"/>
      <c r="CD5" s="102" t="s">
        <v>1263</v>
      </c>
      <c r="CE5" s="102" t="s">
        <v>1264</v>
      </c>
      <c r="CF5" s="102"/>
      <c r="CG5" s="102" t="s">
        <v>1265</v>
      </c>
      <c r="CH5" s="102" t="s">
        <v>1266</v>
      </c>
      <c r="CI5" s="102"/>
      <c r="CJ5" s="102"/>
      <c r="CK5" s="102"/>
      <c r="CL5" s="102"/>
      <c r="CM5" s="102"/>
      <c r="CN5" s="102"/>
      <c r="CO5" s="102"/>
      <c r="CP5" s="102"/>
      <c r="CQ5" s="102"/>
      <c r="CR5" s="102"/>
      <c r="CS5" s="102">
        <v>40</v>
      </c>
      <c r="CT5" s="102"/>
      <c r="CU5" s="102"/>
      <c r="CV5" s="102"/>
    </row>
    <row r="6" spans="1:100" ht="12.75" hidden="1" x14ac:dyDescent="0.2">
      <c r="A6" s="102" t="s">
        <v>50</v>
      </c>
      <c r="B6" s="102" t="s">
        <v>51</v>
      </c>
      <c r="C6" s="102" t="s">
        <v>43</v>
      </c>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2"/>
      <c r="BS6" s="102"/>
      <c r="BT6" s="102"/>
      <c r="BU6" s="102"/>
      <c r="BV6" s="102"/>
      <c r="BW6" s="102"/>
      <c r="BX6" s="102"/>
      <c r="BY6" s="102"/>
      <c r="BZ6" s="102"/>
      <c r="CA6" s="102"/>
      <c r="CB6" s="102"/>
      <c r="CC6" s="102"/>
      <c r="CD6" s="102" t="s">
        <v>1263</v>
      </c>
      <c r="CE6" s="102" t="s">
        <v>1264</v>
      </c>
      <c r="CF6" s="102"/>
      <c r="CG6" s="102" t="s">
        <v>1265</v>
      </c>
      <c r="CH6" s="102" t="s">
        <v>1266</v>
      </c>
      <c r="CI6" s="102"/>
      <c r="CJ6" s="102"/>
      <c r="CK6" s="102"/>
      <c r="CL6" s="102"/>
      <c r="CM6" s="102"/>
      <c r="CN6" s="102"/>
      <c r="CO6" s="102"/>
      <c r="CP6" s="102"/>
      <c r="CQ6" s="102"/>
      <c r="CR6" s="102"/>
      <c r="CS6" s="102"/>
      <c r="CT6" s="102"/>
      <c r="CU6" s="102"/>
      <c r="CV6" s="102"/>
    </row>
    <row r="7" spans="1:100" ht="12.75" hidden="1" x14ac:dyDescent="0.2">
      <c r="A7" s="102" t="s">
        <v>56</v>
      </c>
      <c r="B7" s="102" t="s">
        <v>57</v>
      </c>
      <c r="C7" s="102" t="s">
        <v>43</v>
      </c>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v>1</v>
      </c>
      <c r="BU7" s="102" t="s">
        <v>1049</v>
      </c>
      <c r="BV7" s="102"/>
      <c r="BW7" s="102"/>
      <c r="BX7" s="102"/>
      <c r="BY7" s="102"/>
      <c r="BZ7" s="102"/>
      <c r="CA7" s="102"/>
      <c r="CB7" s="102"/>
      <c r="CC7" s="102"/>
      <c r="CD7" s="102" t="s">
        <v>1263</v>
      </c>
      <c r="CE7" s="102" t="s">
        <v>1264</v>
      </c>
      <c r="CF7" s="102"/>
      <c r="CG7" s="102" t="s">
        <v>1265</v>
      </c>
      <c r="CH7" s="102" t="s">
        <v>1266</v>
      </c>
      <c r="CI7" s="102"/>
      <c r="CJ7" s="102"/>
      <c r="CK7" s="102"/>
      <c r="CL7" s="102"/>
      <c r="CM7" s="102"/>
      <c r="CN7" s="102"/>
      <c r="CO7" s="102"/>
      <c r="CP7" s="102"/>
      <c r="CQ7" s="102"/>
      <c r="CR7" s="102"/>
      <c r="CS7" s="102"/>
      <c r="CT7" s="102"/>
      <c r="CU7" s="102"/>
      <c r="CV7" s="102"/>
    </row>
    <row r="8" spans="1:100" ht="12.75" hidden="1" x14ac:dyDescent="0.2">
      <c r="A8" s="102" t="s">
        <v>62</v>
      </c>
      <c r="B8" s="102" t="s">
        <v>63</v>
      </c>
      <c r="C8" s="102" t="s">
        <v>43</v>
      </c>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v>1</v>
      </c>
      <c r="BU8" s="102" t="s">
        <v>1049</v>
      </c>
      <c r="BV8" s="102"/>
      <c r="BW8" s="102"/>
      <c r="BX8" s="102"/>
      <c r="BY8" s="102"/>
      <c r="BZ8" s="102"/>
      <c r="CA8" s="102"/>
      <c r="CB8" s="102"/>
      <c r="CC8" s="102"/>
      <c r="CD8" s="102" t="s">
        <v>1263</v>
      </c>
      <c r="CE8" s="102" t="s">
        <v>1264</v>
      </c>
      <c r="CF8" s="102"/>
      <c r="CG8" s="102" t="s">
        <v>1267</v>
      </c>
      <c r="CH8" s="102" t="s">
        <v>1266</v>
      </c>
      <c r="CI8" s="102"/>
      <c r="CJ8" s="102"/>
      <c r="CK8" s="102"/>
      <c r="CL8" s="102"/>
      <c r="CM8" s="102"/>
      <c r="CN8" s="102"/>
      <c r="CO8" s="102"/>
      <c r="CP8" s="102"/>
      <c r="CQ8" s="102"/>
      <c r="CR8" s="102"/>
      <c r="CS8" s="102"/>
      <c r="CT8" s="102"/>
      <c r="CU8" s="102"/>
      <c r="CV8" s="102"/>
    </row>
    <row r="9" spans="1:100" ht="12.75" hidden="1" x14ac:dyDescent="0.2">
      <c r="A9" s="102" t="s">
        <v>66</v>
      </c>
      <c r="B9" s="102" t="s">
        <v>67</v>
      </c>
      <c r="C9" s="102" t="s">
        <v>43</v>
      </c>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v>1</v>
      </c>
      <c r="BU9" s="102" t="s">
        <v>1049</v>
      </c>
      <c r="BV9" s="102"/>
      <c r="BW9" s="102"/>
      <c r="BX9" s="102"/>
      <c r="BY9" s="102"/>
      <c r="BZ9" s="102"/>
      <c r="CA9" s="102"/>
      <c r="CB9" s="102"/>
      <c r="CC9" s="102"/>
      <c r="CD9" s="102" t="s">
        <v>1263</v>
      </c>
      <c r="CE9" s="102" t="s">
        <v>1264</v>
      </c>
      <c r="CF9" s="102"/>
      <c r="CG9" s="102" t="s">
        <v>1265</v>
      </c>
      <c r="CH9" s="102" t="s">
        <v>1266</v>
      </c>
      <c r="CI9" s="102"/>
      <c r="CJ9" s="102"/>
      <c r="CK9" s="102"/>
      <c r="CL9" s="102"/>
      <c r="CM9" s="102"/>
      <c r="CN9" s="102"/>
      <c r="CO9" s="102"/>
      <c r="CP9" s="102"/>
      <c r="CQ9" s="102"/>
      <c r="CR9" s="102"/>
      <c r="CS9" s="102"/>
      <c r="CT9" s="102"/>
      <c r="CU9" s="102"/>
      <c r="CV9" s="102"/>
    </row>
    <row r="10" spans="1:100" ht="12.75" hidden="1" x14ac:dyDescent="0.2">
      <c r="A10" s="102" t="s">
        <v>71</v>
      </c>
      <c r="B10" s="102" t="s">
        <v>72</v>
      </c>
      <c r="C10" s="102" t="s">
        <v>43</v>
      </c>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v>1</v>
      </c>
      <c r="BU10" s="102" t="s">
        <v>1049</v>
      </c>
      <c r="BV10" s="102"/>
      <c r="BW10" s="102"/>
      <c r="BX10" s="102"/>
      <c r="BY10" s="102"/>
      <c r="BZ10" s="102"/>
      <c r="CA10" s="102"/>
      <c r="CB10" s="102"/>
      <c r="CC10" s="102"/>
      <c r="CD10" s="102" t="s">
        <v>1263</v>
      </c>
      <c r="CE10" s="102" t="s">
        <v>1264</v>
      </c>
      <c r="CF10" s="102"/>
      <c r="CG10" s="102" t="s">
        <v>1265</v>
      </c>
      <c r="CH10" s="102" t="s">
        <v>1266</v>
      </c>
      <c r="CI10" s="102"/>
      <c r="CJ10" s="102"/>
      <c r="CK10" s="102"/>
      <c r="CL10" s="102"/>
      <c r="CM10" s="102"/>
      <c r="CN10" s="102"/>
      <c r="CO10" s="102"/>
      <c r="CP10" s="102"/>
      <c r="CQ10" s="102"/>
      <c r="CR10" s="102"/>
      <c r="CS10" s="102"/>
      <c r="CT10" s="102"/>
      <c r="CU10" s="102"/>
      <c r="CV10" s="102"/>
    </row>
    <row r="11" spans="1:100" ht="12.75" hidden="1" x14ac:dyDescent="0.2">
      <c r="A11" s="102" t="s">
        <v>76</v>
      </c>
      <c r="B11" s="102" t="s">
        <v>77</v>
      </c>
      <c r="C11" s="102" t="s">
        <v>1268</v>
      </c>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t="s">
        <v>1263</v>
      </c>
      <c r="CE11" s="102" t="s">
        <v>1264</v>
      </c>
      <c r="CF11" s="102"/>
      <c r="CG11" s="102" t="s">
        <v>1265</v>
      </c>
      <c r="CH11" s="102" t="s">
        <v>1266</v>
      </c>
      <c r="CI11" s="102"/>
      <c r="CJ11" s="102"/>
      <c r="CK11" s="102"/>
      <c r="CL11" s="102"/>
      <c r="CM11" s="102"/>
      <c r="CN11" s="102"/>
      <c r="CO11" s="102"/>
      <c r="CP11" s="102"/>
      <c r="CQ11" s="102"/>
      <c r="CR11" s="102"/>
      <c r="CS11" s="102"/>
      <c r="CT11" s="102"/>
      <c r="CU11" s="102"/>
      <c r="CV11" s="102"/>
    </row>
    <row r="12" spans="1:100" ht="12.75" hidden="1" x14ac:dyDescent="0.2">
      <c r="A12" s="102" t="s">
        <v>84</v>
      </c>
      <c r="B12" s="102" t="s">
        <v>85</v>
      </c>
      <c r="C12" s="102" t="s">
        <v>43</v>
      </c>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v>2</v>
      </c>
      <c r="BU12" s="102" t="s">
        <v>1262</v>
      </c>
      <c r="BV12" s="102"/>
      <c r="BW12" s="102"/>
      <c r="BX12" s="102"/>
      <c r="BY12" s="102"/>
      <c r="BZ12" s="102"/>
      <c r="CA12" s="102"/>
      <c r="CB12" s="102"/>
      <c r="CC12" s="102"/>
      <c r="CD12" s="102" t="s">
        <v>1263</v>
      </c>
      <c r="CE12" s="102" t="s">
        <v>1264</v>
      </c>
      <c r="CF12" s="102"/>
      <c r="CG12" s="102" t="s">
        <v>1265</v>
      </c>
      <c r="CH12" s="102" t="s">
        <v>1266</v>
      </c>
      <c r="CI12" s="102"/>
      <c r="CJ12" s="102"/>
      <c r="CK12" s="102"/>
      <c r="CL12" s="102"/>
      <c r="CM12" s="102"/>
      <c r="CN12" s="102"/>
      <c r="CO12" s="102"/>
      <c r="CP12" s="102"/>
      <c r="CQ12" s="102"/>
      <c r="CR12" s="102"/>
      <c r="CS12" s="102"/>
      <c r="CT12" s="102"/>
      <c r="CU12" s="102"/>
      <c r="CV12" s="102"/>
    </row>
    <row r="13" spans="1:100" ht="12.75" hidden="1" x14ac:dyDescent="0.2">
      <c r="A13" s="102" t="s">
        <v>88</v>
      </c>
      <c r="B13" s="102" t="s">
        <v>89</v>
      </c>
      <c r="C13" s="102" t="s">
        <v>43</v>
      </c>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t="s">
        <v>1263</v>
      </c>
      <c r="CE13" s="102" t="s">
        <v>1264</v>
      </c>
      <c r="CF13" s="102"/>
      <c r="CG13" s="102" t="s">
        <v>1265</v>
      </c>
      <c r="CH13" s="102" t="s">
        <v>1266</v>
      </c>
      <c r="CI13" s="102"/>
      <c r="CJ13" s="102"/>
      <c r="CK13" s="102"/>
      <c r="CL13" s="102"/>
      <c r="CM13" s="102"/>
      <c r="CN13" s="102"/>
      <c r="CO13" s="102"/>
      <c r="CP13" s="102"/>
      <c r="CQ13" s="102"/>
      <c r="CR13" s="102"/>
      <c r="CS13" s="102"/>
      <c r="CT13" s="102"/>
      <c r="CU13" s="102"/>
      <c r="CV13" s="102"/>
    </row>
    <row r="14" spans="1:100" ht="12.75" hidden="1" x14ac:dyDescent="0.2">
      <c r="A14" s="102" t="s">
        <v>93</v>
      </c>
      <c r="B14" s="102" t="s">
        <v>94</v>
      </c>
      <c r="C14" s="102" t="s">
        <v>43</v>
      </c>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v>1</v>
      </c>
      <c r="BU14" s="102" t="s">
        <v>1049</v>
      </c>
      <c r="BV14" s="102"/>
      <c r="BW14" s="102"/>
      <c r="BX14" s="102"/>
      <c r="BY14" s="102"/>
      <c r="BZ14" s="102"/>
      <c r="CA14" s="102"/>
      <c r="CB14" s="102"/>
      <c r="CC14" s="102"/>
      <c r="CD14" s="102" t="s">
        <v>1263</v>
      </c>
      <c r="CE14" s="102" t="s">
        <v>1264</v>
      </c>
      <c r="CF14" s="102"/>
      <c r="CG14" s="102" t="s">
        <v>1265</v>
      </c>
      <c r="CH14" s="102" t="s">
        <v>1266</v>
      </c>
      <c r="CI14" s="102"/>
      <c r="CJ14" s="102"/>
      <c r="CK14" s="102"/>
      <c r="CL14" s="102"/>
      <c r="CM14" s="102"/>
      <c r="CN14" s="102"/>
      <c r="CO14" s="102"/>
      <c r="CP14" s="102"/>
      <c r="CQ14" s="102"/>
      <c r="CR14" s="102"/>
      <c r="CS14" s="102"/>
      <c r="CT14" s="102"/>
      <c r="CU14" s="102"/>
      <c r="CV14" s="102"/>
    </row>
    <row r="15" spans="1:100" ht="12.75" hidden="1" x14ac:dyDescent="0.2">
      <c r="A15" s="102" t="s">
        <v>97</v>
      </c>
      <c r="B15" s="102" t="s">
        <v>98</v>
      </c>
      <c r="C15" s="102" t="s">
        <v>43</v>
      </c>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t="s">
        <v>1263</v>
      </c>
      <c r="CE15" s="102" t="s">
        <v>1264</v>
      </c>
      <c r="CF15" s="102"/>
      <c r="CG15" s="102" t="s">
        <v>1265</v>
      </c>
      <c r="CH15" s="102" t="s">
        <v>1266</v>
      </c>
      <c r="CI15" s="102"/>
      <c r="CJ15" s="102"/>
      <c r="CK15" s="102"/>
      <c r="CL15" s="102"/>
      <c r="CM15" s="102"/>
      <c r="CN15" s="102"/>
      <c r="CO15" s="102"/>
      <c r="CP15" s="102"/>
      <c r="CQ15" s="102"/>
      <c r="CR15" s="102"/>
      <c r="CS15" s="102"/>
      <c r="CT15" s="102"/>
      <c r="CU15" s="102"/>
      <c r="CV15" s="102"/>
    </row>
    <row r="16" spans="1:100" ht="12.75" hidden="1" x14ac:dyDescent="0.2">
      <c r="A16" s="102" t="s">
        <v>102</v>
      </c>
      <c r="B16" s="102" t="s">
        <v>103</v>
      </c>
      <c r="C16" s="102" t="s">
        <v>43</v>
      </c>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t="s">
        <v>1269</v>
      </c>
      <c r="BU16" s="102" t="s">
        <v>1270</v>
      </c>
      <c r="BV16" s="102"/>
      <c r="BW16" s="102"/>
      <c r="BX16" s="102"/>
      <c r="BY16" s="102"/>
      <c r="BZ16" s="102"/>
      <c r="CA16" s="102"/>
      <c r="CB16" s="102"/>
      <c r="CC16" s="102"/>
      <c r="CD16" s="102" t="s">
        <v>1263</v>
      </c>
      <c r="CE16" s="102" t="s">
        <v>1264</v>
      </c>
      <c r="CF16" s="102"/>
      <c r="CG16" s="102" t="s">
        <v>1265</v>
      </c>
      <c r="CH16" s="102" t="s">
        <v>1266</v>
      </c>
      <c r="CI16" s="102"/>
      <c r="CJ16" s="102"/>
      <c r="CK16" s="102"/>
      <c r="CL16" s="102"/>
      <c r="CM16" s="102"/>
      <c r="CN16" s="102"/>
      <c r="CO16" s="102"/>
      <c r="CP16" s="102"/>
      <c r="CQ16" s="102"/>
      <c r="CR16" s="102"/>
      <c r="CS16" s="102"/>
      <c r="CT16" s="102"/>
      <c r="CU16" s="102"/>
      <c r="CV16" s="102"/>
    </row>
    <row r="17" spans="1:100" ht="12.75" hidden="1" x14ac:dyDescent="0.2">
      <c r="A17" s="102" t="s">
        <v>106</v>
      </c>
      <c r="B17" s="102" t="s">
        <v>107</v>
      </c>
      <c r="C17" s="102" t="s">
        <v>43</v>
      </c>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v>2</v>
      </c>
      <c r="BU17" s="102" t="s">
        <v>1271</v>
      </c>
      <c r="BV17" s="102"/>
      <c r="BW17" s="102"/>
      <c r="BX17" s="102"/>
      <c r="BY17" s="102"/>
      <c r="BZ17" s="102"/>
      <c r="CA17" s="102"/>
      <c r="CB17" s="102"/>
      <c r="CC17" s="102"/>
      <c r="CD17" s="102" t="s">
        <v>1263</v>
      </c>
      <c r="CE17" s="102" t="s">
        <v>1264</v>
      </c>
      <c r="CF17" s="102"/>
      <c r="CG17" s="102" t="s">
        <v>1265</v>
      </c>
      <c r="CH17" s="102" t="s">
        <v>1266</v>
      </c>
      <c r="CI17" s="102"/>
      <c r="CJ17" s="102"/>
      <c r="CK17" s="102"/>
      <c r="CL17" s="102"/>
      <c r="CM17" s="102"/>
      <c r="CN17" s="102"/>
      <c r="CO17" s="102"/>
      <c r="CP17" s="102"/>
      <c r="CQ17" s="102"/>
      <c r="CR17" s="102"/>
      <c r="CS17" s="102"/>
      <c r="CT17" s="102"/>
      <c r="CU17" s="102"/>
      <c r="CV17" s="102"/>
    </row>
    <row r="18" spans="1:100" ht="12.75" hidden="1" x14ac:dyDescent="0.2">
      <c r="A18" s="102" t="s">
        <v>110</v>
      </c>
      <c r="B18" s="102" t="s">
        <v>111</v>
      </c>
      <c r="C18" s="102" t="s">
        <v>43</v>
      </c>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v>1</v>
      </c>
      <c r="BU18" s="102" t="s">
        <v>1272</v>
      </c>
      <c r="BV18" s="102"/>
      <c r="BW18" s="102"/>
      <c r="BX18" s="102"/>
      <c r="BY18" s="102"/>
      <c r="BZ18" s="102"/>
      <c r="CA18" s="102"/>
      <c r="CB18" s="102"/>
      <c r="CC18" s="102"/>
      <c r="CD18" s="102" t="s">
        <v>1263</v>
      </c>
      <c r="CE18" s="102" t="s">
        <v>1264</v>
      </c>
      <c r="CF18" s="102"/>
      <c r="CG18" s="102" t="s">
        <v>1265</v>
      </c>
      <c r="CH18" s="102" t="s">
        <v>1266</v>
      </c>
      <c r="CI18" s="102"/>
      <c r="CJ18" s="102"/>
      <c r="CK18" s="102"/>
      <c r="CL18" s="102"/>
      <c r="CM18" s="102"/>
      <c r="CN18" s="102"/>
      <c r="CO18" s="102"/>
      <c r="CP18" s="102"/>
      <c r="CQ18" s="102"/>
      <c r="CR18" s="102"/>
      <c r="CS18" s="102"/>
      <c r="CT18" s="102"/>
      <c r="CU18" s="102"/>
      <c r="CV18" s="102"/>
    </row>
    <row r="19" spans="1:100" ht="12.75" hidden="1" x14ac:dyDescent="0.2">
      <c r="A19" s="102" t="s">
        <v>114</v>
      </c>
      <c r="B19" s="102" t="s">
        <v>115</v>
      </c>
      <c r="C19" s="102" t="s">
        <v>43</v>
      </c>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t="s">
        <v>1263</v>
      </c>
      <c r="CE19" s="102" t="s">
        <v>1264</v>
      </c>
      <c r="CF19" s="102"/>
      <c r="CG19" s="102" t="s">
        <v>1267</v>
      </c>
      <c r="CH19" s="102" t="s">
        <v>1266</v>
      </c>
      <c r="CI19" s="102"/>
      <c r="CJ19" s="102"/>
      <c r="CK19" s="102"/>
      <c r="CL19" s="102"/>
      <c r="CM19" s="102"/>
      <c r="CN19" s="102"/>
      <c r="CO19" s="102"/>
      <c r="CP19" s="102"/>
      <c r="CQ19" s="102"/>
      <c r="CR19" s="102"/>
      <c r="CS19" s="102"/>
      <c r="CT19" s="102"/>
      <c r="CU19" s="102"/>
      <c r="CV19" s="102"/>
    </row>
    <row r="20" spans="1:100" ht="12.75" hidden="1" x14ac:dyDescent="0.2">
      <c r="A20" s="102" t="s">
        <v>118</v>
      </c>
      <c r="B20" s="102" t="s">
        <v>119</v>
      </c>
      <c r="C20" s="102" t="s">
        <v>43</v>
      </c>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t="s">
        <v>1263</v>
      </c>
      <c r="CE20" s="102" t="s">
        <v>1264</v>
      </c>
      <c r="CF20" s="102"/>
      <c r="CG20" s="102" t="s">
        <v>1265</v>
      </c>
      <c r="CH20" s="102" t="s">
        <v>1266</v>
      </c>
      <c r="CI20" s="102"/>
      <c r="CJ20" s="102"/>
      <c r="CK20" s="102"/>
      <c r="CL20" s="102"/>
      <c r="CM20" s="102"/>
      <c r="CN20" s="102"/>
      <c r="CO20" s="102"/>
      <c r="CP20" s="102"/>
      <c r="CQ20" s="102"/>
      <c r="CR20" s="102"/>
      <c r="CS20" s="102"/>
      <c r="CT20" s="102"/>
      <c r="CU20" s="102"/>
      <c r="CV20" s="102"/>
    </row>
    <row r="21" spans="1:100" ht="12.75" hidden="1" x14ac:dyDescent="0.2">
      <c r="A21" s="102" t="s">
        <v>122</v>
      </c>
      <c r="B21" s="102" t="s">
        <v>123</v>
      </c>
      <c r="C21" s="102" t="s">
        <v>43</v>
      </c>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t="s">
        <v>1263</v>
      </c>
      <c r="CE21" s="102" t="s">
        <v>1264</v>
      </c>
      <c r="CF21" s="102"/>
      <c r="CG21" s="102" t="s">
        <v>1265</v>
      </c>
      <c r="CH21" s="102" t="s">
        <v>1266</v>
      </c>
      <c r="CI21" s="102"/>
      <c r="CJ21" s="102"/>
      <c r="CK21" s="102"/>
      <c r="CL21" s="102"/>
      <c r="CM21" s="102"/>
      <c r="CN21" s="102"/>
      <c r="CO21" s="102"/>
      <c r="CP21" s="102"/>
      <c r="CQ21" s="102"/>
      <c r="CR21" s="102"/>
      <c r="CS21" s="102"/>
      <c r="CT21" s="102"/>
      <c r="CU21" s="102"/>
      <c r="CV21" s="102"/>
    </row>
    <row r="22" spans="1:100" ht="12.75" hidden="1" x14ac:dyDescent="0.2">
      <c r="A22" s="102" t="s">
        <v>126</v>
      </c>
      <c r="B22" s="102" t="s">
        <v>127</v>
      </c>
      <c r="C22" s="102" t="s">
        <v>43</v>
      </c>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t="s">
        <v>1263</v>
      </c>
      <c r="CE22" s="102" t="s">
        <v>1264</v>
      </c>
      <c r="CF22" s="102"/>
      <c r="CG22" s="102" t="s">
        <v>1265</v>
      </c>
      <c r="CH22" s="102" t="s">
        <v>1266</v>
      </c>
      <c r="CI22" s="102"/>
      <c r="CJ22" s="102"/>
      <c r="CK22" s="102"/>
      <c r="CL22" s="102"/>
      <c r="CM22" s="102"/>
      <c r="CN22" s="102"/>
      <c r="CO22" s="102"/>
      <c r="CP22" s="102"/>
      <c r="CQ22" s="102"/>
      <c r="CR22" s="102"/>
      <c r="CS22" s="102"/>
      <c r="CT22" s="102"/>
      <c r="CU22" s="102"/>
      <c r="CV22" s="102"/>
    </row>
    <row r="23" spans="1:100" ht="12.75" hidden="1" x14ac:dyDescent="0.2">
      <c r="A23" s="102" t="s">
        <v>130</v>
      </c>
      <c r="B23" s="102" t="s">
        <v>131</v>
      </c>
      <c r="C23" s="102" t="s">
        <v>1268</v>
      </c>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t="s">
        <v>1263</v>
      </c>
      <c r="CE23" s="102" t="s">
        <v>1264</v>
      </c>
      <c r="CF23" s="102"/>
      <c r="CG23" s="102" t="s">
        <v>1265</v>
      </c>
      <c r="CH23" s="102" t="s">
        <v>1266</v>
      </c>
      <c r="CI23" s="102"/>
      <c r="CJ23" s="102"/>
      <c r="CK23" s="102"/>
      <c r="CL23" s="102"/>
      <c r="CM23" s="102"/>
      <c r="CN23" s="102"/>
      <c r="CO23" s="102"/>
      <c r="CP23" s="102"/>
      <c r="CQ23" s="102"/>
      <c r="CR23" s="102"/>
      <c r="CS23" s="102"/>
      <c r="CT23" s="102"/>
      <c r="CU23" s="102"/>
      <c r="CV23" s="102"/>
    </row>
    <row r="24" spans="1:100" ht="12.75" hidden="1" x14ac:dyDescent="0.2">
      <c r="A24" s="102" t="s">
        <v>134</v>
      </c>
      <c r="B24" s="102" t="s">
        <v>135</v>
      </c>
      <c r="C24" s="102" t="s">
        <v>43</v>
      </c>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t="s">
        <v>1273</v>
      </c>
      <c r="BU24" s="102" t="s">
        <v>1274</v>
      </c>
      <c r="BV24" s="102"/>
      <c r="BW24" s="102"/>
      <c r="BX24" s="102"/>
      <c r="BY24" s="102"/>
      <c r="BZ24" s="102"/>
      <c r="CA24" s="102"/>
      <c r="CB24" s="102"/>
      <c r="CC24" s="102"/>
      <c r="CD24" s="102" t="s">
        <v>1263</v>
      </c>
      <c r="CE24" s="102" t="s">
        <v>1264</v>
      </c>
      <c r="CF24" s="102"/>
      <c r="CG24" s="102" t="s">
        <v>1265</v>
      </c>
      <c r="CH24" s="102" t="s">
        <v>1266</v>
      </c>
      <c r="CI24" s="102"/>
      <c r="CJ24" s="102"/>
      <c r="CK24" s="102"/>
      <c r="CL24" s="102"/>
      <c r="CM24" s="102"/>
      <c r="CN24" s="102"/>
      <c r="CO24" s="102"/>
      <c r="CP24" s="102"/>
      <c r="CQ24" s="102"/>
      <c r="CR24" s="102"/>
      <c r="CS24" s="102"/>
      <c r="CT24" s="102"/>
      <c r="CU24" s="102"/>
      <c r="CV24" s="102"/>
    </row>
    <row r="25" spans="1:100" ht="12.75" hidden="1" x14ac:dyDescent="0.2">
      <c r="A25" s="102" t="s">
        <v>138</v>
      </c>
      <c r="B25" s="102" t="s">
        <v>139</v>
      </c>
      <c r="C25" s="102" t="s">
        <v>1268</v>
      </c>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t="s">
        <v>1263</v>
      </c>
      <c r="CE25" s="102" t="s">
        <v>1264</v>
      </c>
      <c r="CF25" s="102"/>
      <c r="CG25" s="102" t="s">
        <v>1265</v>
      </c>
      <c r="CH25" s="102" t="s">
        <v>1266</v>
      </c>
      <c r="CI25" s="102"/>
      <c r="CJ25" s="102"/>
      <c r="CK25" s="102"/>
      <c r="CL25" s="102"/>
      <c r="CM25" s="102"/>
      <c r="CN25" s="102"/>
      <c r="CO25" s="102"/>
      <c r="CP25" s="102"/>
      <c r="CQ25" s="102"/>
      <c r="CR25" s="102"/>
      <c r="CS25" s="102"/>
      <c r="CT25" s="102"/>
      <c r="CU25" s="102"/>
      <c r="CV25" s="102"/>
    </row>
    <row r="26" spans="1:100" ht="12.75" hidden="1" x14ac:dyDescent="0.2">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row>
    <row r="27" spans="1:100" ht="30" customHeight="1" x14ac:dyDescent="0.2">
      <c r="A27" s="102" t="s">
        <v>146</v>
      </c>
      <c r="B27" s="102" t="s">
        <v>147</v>
      </c>
      <c r="C27" s="102" t="s">
        <v>43</v>
      </c>
      <c r="D27" s="102"/>
      <c r="E27" s="102"/>
      <c r="F27" s="102"/>
      <c r="G27" s="102"/>
      <c r="H27" s="102"/>
      <c r="I27" s="104" t="s">
        <v>1275</v>
      </c>
      <c r="J27" s="104" t="s">
        <v>1276</v>
      </c>
      <c r="K27" s="102" t="s">
        <v>1277</v>
      </c>
      <c r="L27" s="102" t="s">
        <v>1278</v>
      </c>
      <c r="M27" s="102" t="s">
        <v>1279</v>
      </c>
      <c r="N27" s="102" t="s">
        <v>1280</v>
      </c>
      <c r="O27" s="102"/>
      <c r="P27" s="102"/>
      <c r="Q27" s="102">
        <v>130</v>
      </c>
      <c r="R27" s="102">
        <v>91</v>
      </c>
      <c r="S27" s="102">
        <v>9</v>
      </c>
      <c r="T27" s="102">
        <v>2</v>
      </c>
      <c r="U27" s="102">
        <v>2</v>
      </c>
      <c r="V27" s="102">
        <v>2</v>
      </c>
      <c r="W27" s="102">
        <v>3</v>
      </c>
      <c r="X27" s="102">
        <v>3</v>
      </c>
      <c r="Y27" s="102">
        <v>3</v>
      </c>
      <c r="Z27" s="102">
        <v>0</v>
      </c>
      <c r="AA27" s="102">
        <v>0</v>
      </c>
      <c r="AB27" s="102">
        <v>0</v>
      </c>
      <c r="AC27" s="104" t="s">
        <v>1281</v>
      </c>
      <c r="AD27" s="102"/>
      <c r="AE27" s="104" t="s">
        <v>1282</v>
      </c>
      <c r="AF27" s="104" t="s">
        <v>1283</v>
      </c>
      <c r="AG27" s="102" t="s">
        <v>310</v>
      </c>
      <c r="AH27" s="102" t="s">
        <v>1284</v>
      </c>
      <c r="AI27" s="102" t="s">
        <v>1285</v>
      </c>
      <c r="AJ27" s="104" t="s">
        <v>1286</v>
      </c>
      <c r="AK27" s="102"/>
      <c r="AL27" s="102"/>
      <c r="AM27" s="102">
        <v>200</v>
      </c>
      <c r="AN27" s="102">
        <v>68</v>
      </c>
      <c r="AO27" s="102">
        <v>30</v>
      </c>
      <c r="AP27" s="102">
        <v>22</v>
      </c>
      <c r="AQ27" s="102">
        <v>1</v>
      </c>
      <c r="AR27" s="102">
        <v>1</v>
      </c>
      <c r="AS27" s="102">
        <v>3</v>
      </c>
      <c r="AT27" s="102">
        <v>3</v>
      </c>
      <c r="AU27" s="102">
        <v>3</v>
      </c>
      <c r="AV27" s="102">
        <v>5</v>
      </c>
      <c r="AW27" s="102" t="s">
        <v>1287</v>
      </c>
      <c r="AX27" s="102">
        <v>29</v>
      </c>
      <c r="AY27" s="102" t="s">
        <v>1288</v>
      </c>
      <c r="AZ27" s="102"/>
      <c r="BA27" s="102">
        <v>1</v>
      </c>
      <c r="BB27" s="102"/>
      <c r="BC27" s="102"/>
      <c r="BD27" s="104" t="s">
        <v>1289</v>
      </c>
      <c r="BE27" s="104" t="s">
        <v>1290</v>
      </c>
      <c r="BF27" s="104" t="s">
        <v>1291</v>
      </c>
      <c r="BG27" s="104" t="s">
        <v>1292</v>
      </c>
      <c r="BH27" s="102"/>
      <c r="BI27" s="102"/>
      <c r="BJ27" s="102"/>
      <c r="BK27" s="102"/>
      <c r="BL27" s="102"/>
      <c r="BM27" s="102"/>
      <c r="BN27" s="102">
        <v>100</v>
      </c>
      <c r="BO27" s="102"/>
      <c r="BP27" s="102"/>
      <c r="BQ27" s="102"/>
      <c r="BR27" s="102"/>
      <c r="BS27" s="102"/>
      <c r="BT27" s="102" t="s">
        <v>1293</v>
      </c>
      <c r="BU27" s="102" t="s">
        <v>1294</v>
      </c>
      <c r="BV27" s="102"/>
      <c r="BW27" s="102"/>
      <c r="BX27" s="102"/>
      <c r="BY27" s="102"/>
      <c r="BZ27" s="102"/>
      <c r="CA27" s="102"/>
      <c r="CB27" s="102"/>
      <c r="CC27" s="102"/>
      <c r="CD27" s="104" t="s">
        <v>1295</v>
      </c>
      <c r="CE27" s="104" t="s">
        <v>1296</v>
      </c>
      <c r="CF27" s="102"/>
      <c r="CG27" s="102"/>
      <c r="CH27" s="102"/>
      <c r="CI27" s="102"/>
      <c r="CJ27" s="102"/>
      <c r="CK27" s="102"/>
      <c r="CL27" s="102"/>
      <c r="CM27" s="102"/>
      <c r="CN27" s="102"/>
      <c r="CO27" s="102"/>
      <c r="CP27" s="102"/>
      <c r="CQ27" s="102"/>
      <c r="CR27" s="102"/>
      <c r="CS27" s="102"/>
      <c r="CT27" s="102"/>
      <c r="CU27" s="102"/>
      <c r="CV27" s="102"/>
    </row>
    <row r="28" spans="1:100" ht="23.25" customHeight="1" x14ac:dyDescent="0.2">
      <c r="A28" s="102" t="s">
        <v>159</v>
      </c>
      <c r="B28" s="102" t="s">
        <v>160</v>
      </c>
      <c r="C28" s="102" t="s">
        <v>43</v>
      </c>
      <c r="D28" s="102"/>
      <c r="E28" s="102"/>
      <c r="F28" s="102"/>
      <c r="G28" s="102"/>
      <c r="H28" s="102"/>
      <c r="I28" s="104" t="s">
        <v>1275</v>
      </c>
      <c r="J28" s="104" t="s">
        <v>1276</v>
      </c>
      <c r="K28" s="102" t="s">
        <v>1277</v>
      </c>
      <c r="L28" s="102" t="s">
        <v>1278</v>
      </c>
      <c r="M28" s="102" t="s">
        <v>1279</v>
      </c>
      <c r="N28" s="102" t="s">
        <v>1280</v>
      </c>
      <c r="O28" s="102"/>
      <c r="P28" s="102"/>
      <c r="Q28" s="102">
        <v>120</v>
      </c>
      <c r="R28" s="102">
        <v>35</v>
      </c>
      <c r="S28" s="102">
        <v>4</v>
      </c>
      <c r="T28" s="102">
        <v>1</v>
      </c>
      <c r="U28" s="102">
        <v>1</v>
      </c>
      <c r="V28" s="102">
        <v>1</v>
      </c>
      <c r="W28" s="102">
        <v>3</v>
      </c>
      <c r="X28" s="102">
        <v>3</v>
      </c>
      <c r="Y28" s="102">
        <v>3</v>
      </c>
      <c r="Z28" s="102">
        <v>0</v>
      </c>
      <c r="AA28" s="102">
        <v>0</v>
      </c>
      <c r="AB28" s="102">
        <v>0</v>
      </c>
      <c r="AC28" s="104" t="s">
        <v>1281</v>
      </c>
      <c r="AD28" s="102"/>
      <c r="AE28" s="104" t="s">
        <v>1282</v>
      </c>
      <c r="AF28" s="104" t="s">
        <v>1283</v>
      </c>
      <c r="AG28" s="102" t="s">
        <v>310</v>
      </c>
      <c r="AH28" s="102" t="s">
        <v>1284</v>
      </c>
      <c r="AI28" s="102" t="s">
        <v>1285</v>
      </c>
      <c r="AJ28" s="104" t="s">
        <v>1286</v>
      </c>
      <c r="AK28" s="102"/>
      <c r="AL28" s="102"/>
      <c r="AM28" s="102">
        <v>150</v>
      </c>
      <c r="AN28" s="102">
        <v>65</v>
      </c>
      <c r="AO28" s="102">
        <v>22</v>
      </c>
      <c r="AP28" s="102">
        <v>3</v>
      </c>
      <c r="AQ28" s="102">
        <v>0</v>
      </c>
      <c r="AR28" s="102">
        <v>0</v>
      </c>
      <c r="AS28" s="102">
        <v>3</v>
      </c>
      <c r="AT28" s="102">
        <v>3</v>
      </c>
      <c r="AU28" s="102">
        <v>3</v>
      </c>
      <c r="AV28" s="102">
        <v>8</v>
      </c>
      <c r="AW28" s="102" t="s">
        <v>1287</v>
      </c>
      <c r="AX28" s="102">
        <v>5</v>
      </c>
      <c r="AY28" s="102" t="s">
        <v>1288</v>
      </c>
      <c r="AZ28" s="102"/>
      <c r="BA28" s="102"/>
      <c r="BB28" s="102"/>
      <c r="BC28" s="102"/>
      <c r="BD28" s="104" t="s">
        <v>1289</v>
      </c>
      <c r="BE28" s="104" t="s">
        <v>1290</v>
      </c>
      <c r="BF28" s="104" t="s">
        <v>1291</v>
      </c>
      <c r="BG28" s="104" t="s">
        <v>1292</v>
      </c>
      <c r="BH28" s="102"/>
      <c r="BI28" s="102"/>
      <c r="BJ28" s="102"/>
      <c r="BK28" s="102"/>
      <c r="BL28" s="102"/>
      <c r="BM28" s="102"/>
      <c r="BN28" s="102">
        <v>100</v>
      </c>
      <c r="BO28" s="102"/>
      <c r="BP28" s="102"/>
      <c r="BQ28" s="102"/>
      <c r="BR28" s="102"/>
      <c r="BS28" s="102"/>
      <c r="BT28" s="102"/>
      <c r="BU28" s="102"/>
      <c r="BV28" s="102"/>
      <c r="BW28" s="102"/>
      <c r="BX28" s="102"/>
      <c r="BY28" s="102"/>
      <c r="BZ28" s="102"/>
      <c r="CA28" s="102"/>
      <c r="CB28" s="102"/>
      <c r="CC28" s="102"/>
      <c r="CD28" s="104" t="s">
        <v>1295</v>
      </c>
      <c r="CE28" s="104" t="s">
        <v>1296</v>
      </c>
      <c r="CF28" s="102"/>
      <c r="CG28" s="102"/>
      <c r="CH28" s="102"/>
      <c r="CI28" s="102"/>
      <c r="CJ28" s="102"/>
      <c r="CK28" s="102"/>
      <c r="CL28" s="102"/>
      <c r="CM28" s="102"/>
      <c r="CN28" s="102"/>
      <c r="CO28" s="102"/>
      <c r="CP28" s="102"/>
      <c r="CQ28" s="102"/>
      <c r="CR28" s="102"/>
      <c r="CS28" s="102"/>
      <c r="CT28" s="102"/>
      <c r="CU28" s="102"/>
      <c r="CV28" s="102"/>
    </row>
    <row r="29" spans="1:100" ht="19.5" customHeight="1" x14ac:dyDescent="0.2">
      <c r="A29" s="102" t="s">
        <v>171</v>
      </c>
      <c r="B29" s="102" t="s">
        <v>172</v>
      </c>
      <c r="C29" s="102" t="s">
        <v>43</v>
      </c>
      <c r="D29" s="102"/>
      <c r="E29" s="102"/>
      <c r="F29" s="102"/>
      <c r="G29" s="102"/>
      <c r="H29" s="102"/>
      <c r="I29" s="104" t="s">
        <v>1275</v>
      </c>
      <c r="J29" s="104" t="s">
        <v>1276</v>
      </c>
      <c r="K29" s="102" t="s">
        <v>1277</v>
      </c>
      <c r="L29" s="102" t="s">
        <v>1278</v>
      </c>
      <c r="M29" s="102" t="s">
        <v>1279</v>
      </c>
      <c r="N29" s="102" t="s">
        <v>1280</v>
      </c>
      <c r="O29" s="102"/>
      <c r="P29" s="102"/>
      <c r="Q29" s="102">
        <v>130</v>
      </c>
      <c r="R29" s="102">
        <v>68</v>
      </c>
      <c r="S29" s="102">
        <v>2</v>
      </c>
      <c r="T29" s="102">
        <v>0</v>
      </c>
      <c r="U29" s="102">
        <v>0</v>
      </c>
      <c r="V29" s="102">
        <v>0</v>
      </c>
      <c r="W29" s="102">
        <v>3</v>
      </c>
      <c r="X29" s="102">
        <v>3</v>
      </c>
      <c r="Y29" s="102">
        <v>3</v>
      </c>
      <c r="Z29" s="102">
        <v>0</v>
      </c>
      <c r="AA29" s="102">
        <v>0</v>
      </c>
      <c r="AB29" s="102">
        <v>0</v>
      </c>
      <c r="AC29" s="104" t="s">
        <v>1281</v>
      </c>
      <c r="AD29" s="102"/>
      <c r="AE29" s="104" t="s">
        <v>1282</v>
      </c>
      <c r="AF29" s="104" t="s">
        <v>1283</v>
      </c>
      <c r="AG29" s="102" t="s">
        <v>310</v>
      </c>
      <c r="AH29" s="102" t="s">
        <v>1284</v>
      </c>
      <c r="AI29" s="102" t="s">
        <v>1285</v>
      </c>
      <c r="AJ29" s="104" t="s">
        <v>1286</v>
      </c>
      <c r="AK29" s="102"/>
      <c r="AL29" s="102"/>
      <c r="AM29" s="102">
        <v>180</v>
      </c>
      <c r="AN29" s="102">
        <v>48</v>
      </c>
      <c r="AO29" s="102">
        <v>3</v>
      </c>
      <c r="AP29" s="102">
        <v>2</v>
      </c>
      <c r="AQ29" s="102">
        <v>0</v>
      </c>
      <c r="AR29" s="102">
        <v>1</v>
      </c>
      <c r="AS29" s="102">
        <v>3</v>
      </c>
      <c r="AT29" s="102">
        <v>3</v>
      </c>
      <c r="AU29" s="102">
        <v>3</v>
      </c>
      <c r="AV29" s="102">
        <v>4</v>
      </c>
      <c r="AW29" s="102" t="s">
        <v>1294</v>
      </c>
      <c r="AX29" s="102">
        <v>14</v>
      </c>
      <c r="AY29" s="102" t="s">
        <v>1288</v>
      </c>
      <c r="AZ29" s="102">
        <v>0</v>
      </c>
      <c r="BA29" s="102">
        <v>0</v>
      </c>
      <c r="BB29" s="102">
        <v>0</v>
      </c>
      <c r="BC29" s="102"/>
      <c r="BD29" s="104" t="s">
        <v>1289</v>
      </c>
      <c r="BE29" s="104" t="s">
        <v>1290</v>
      </c>
      <c r="BF29" s="104" t="s">
        <v>1291</v>
      </c>
      <c r="BG29" s="104" t="s">
        <v>1292</v>
      </c>
      <c r="BH29" s="102"/>
      <c r="BI29" s="102"/>
      <c r="BJ29" s="102"/>
      <c r="BK29" s="102"/>
      <c r="BL29" s="102"/>
      <c r="BM29" s="102"/>
      <c r="BN29" s="102">
        <v>100</v>
      </c>
      <c r="BO29" s="102"/>
      <c r="BP29" s="102"/>
      <c r="BQ29" s="102"/>
      <c r="BR29" s="102"/>
      <c r="BS29" s="102"/>
      <c r="BT29" s="102"/>
      <c r="BU29" s="102" t="s">
        <v>1297</v>
      </c>
      <c r="BV29" s="102"/>
      <c r="BW29" s="102"/>
      <c r="BX29" s="102"/>
      <c r="BY29" s="102"/>
      <c r="BZ29" s="102"/>
      <c r="CA29" s="102"/>
      <c r="CB29" s="102"/>
      <c r="CC29" s="102"/>
      <c r="CD29" s="104" t="s">
        <v>1295</v>
      </c>
      <c r="CE29" s="104" t="s">
        <v>1296</v>
      </c>
      <c r="CF29" s="102"/>
      <c r="CG29" s="102"/>
      <c r="CH29" s="102"/>
      <c r="CI29" s="102"/>
      <c r="CJ29" s="102"/>
      <c r="CK29" s="102"/>
      <c r="CL29" s="102"/>
      <c r="CM29" s="102"/>
      <c r="CN29" s="102"/>
      <c r="CO29" s="102"/>
      <c r="CP29" s="102"/>
      <c r="CQ29" s="102"/>
      <c r="CR29" s="102"/>
      <c r="CS29" s="102"/>
      <c r="CT29" s="102"/>
      <c r="CU29" s="102"/>
      <c r="CV29" s="102"/>
    </row>
    <row r="30" spans="1:100" ht="19.5" customHeight="1" x14ac:dyDescent="0.2">
      <c r="A30" s="102" t="s">
        <v>180</v>
      </c>
      <c r="B30" s="102" t="s">
        <v>181</v>
      </c>
      <c r="C30" s="102" t="s">
        <v>43</v>
      </c>
      <c r="D30" s="102"/>
      <c r="E30" s="102"/>
      <c r="F30" s="102"/>
      <c r="G30" s="102"/>
      <c r="H30" s="102"/>
      <c r="I30" s="104" t="s">
        <v>1275</v>
      </c>
      <c r="J30" s="104" t="s">
        <v>1276</v>
      </c>
      <c r="K30" s="102" t="s">
        <v>1277</v>
      </c>
      <c r="L30" s="102" t="s">
        <v>1278</v>
      </c>
      <c r="M30" s="102" t="s">
        <v>1279</v>
      </c>
      <c r="N30" s="102" t="s">
        <v>1280</v>
      </c>
      <c r="O30" s="102"/>
      <c r="P30" s="102"/>
      <c r="Q30" s="102">
        <v>150</v>
      </c>
      <c r="R30" s="102">
        <v>91</v>
      </c>
      <c r="S30" s="102">
        <v>8</v>
      </c>
      <c r="T30" s="102">
        <v>2</v>
      </c>
      <c r="U30" s="102">
        <v>2</v>
      </c>
      <c r="V30" s="102">
        <v>3</v>
      </c>
      <c r="W30" s="102">
        <v>3</v>
      </c>
      <c r="X30" s="102">
        <v>3</v>
      </c>
      <c r="Y30" s="102">
        <v>3</v>
      </c>
      <c r="Z30" s="102">
        <v>0</v>
      </c>
      <c r="AA30" s="102">
        <v>0</v>
      </c>
      <c r="AB30" s="102"/>
      <c r="AC30" s="104" t="s">
        <v>1281</v>
      </c>
      <c r="AD30" s="102"/>
      <c r="AE30" s="104" t="s">
        <v>1282</v>
      </c>
      <c r="AF30" s="104" t="s">
        <v>1283</v>
      </c>
      <c r="AG30" s="102" t="s">
        <v>310</v>
      </c>
      <c r="AH30" s="102" t="s">
        <v>1284</v>
      </c>
      <c r="AI30" s="102" t="s">
        <v>1285</v>
      </c>
      <c r="AJ30" s="104" t="s">
        <v>1286</v>
      </c>
      <c r="AK30" s="102"/>
      <c r="AL30" s="102"/>
      <c r="AM30" s="102">
        <v>190</v>
      </c>
      <c r="AN30" s="102">
        <v>68</v>
      </c>
      <c r="AO30" s="102">
        <v>20</v>
      </c>
      <c r="AP30" s="102">
        <v>11</v>
      </c>
      <c r="AQ30" s="102">
        <v>1</v>
      </c>
      <c r="AR30" s="102">
        <v>1</v>
      </c>
      <c r="AS30" s="102">
        <v>3</v>
      </c>
      <c r="AT30" s="102">
        <v>3</v>
      </c>
      <c r="AU30" s="102">
        <v>3</v>
      </c>
      <c r="AV30" s="102">
        <v>6</v>
      </c>
      <c r="AW30" s="102" t="s">
        <v>1298</v>
      </c>
      <c r="AX30" s="102">
        <v>22</v>
      </c>
      <c r="AY30" s="102" t="s">
        <v>1288</v>
      </c>
      <c r="AZ30" s="102"/>
      <c r="BA30" s="102">
        <v>1</v>
      </c>
      <c r="BB30" s="102"/>
      <c r="BC30" s="102"/>
      <c r="BD30" s="104" t="s">
        <v>1289</v>
      </c>
      <c r="BE30" s="104" t="s">
        <v>1290</v>
      </c>
      <c r="BF30" s="104" t="s">
        <v>1291</v>
      </c>
      <c r="BG30" s="104" t="s">
        <v>1292</v>
      </c>
      <c r="BH30" s="102"/>
      <c r="BI30" s="102"/>
      <c r="BJ30" s="102"/>
      <c r="BK30" s="102"/>
      <c r="BL30" s="102"/>
      <c r="BM30" s="102"/>
      <c r="BN30" s="102">
        <v>100</v>
      </c>
      <c r="BO30" s="102"/>
      <c r="BP30" s="102"/>
      <c r="BQ30" s="102"/>
      <c r="BR30" s="102"/>
      <c r="BS30" s="102"/>
      <c r="BT30" s="102"/>
      <c r="BU30" s="102"/>
      <c r="BV30" s="102"/>
      <c r="BW30" s="102"/>
      <c r="BX30" s="102"/>
      <c r="BY30" s="102"/>
      <c r="BZ30" s="102"/>
      <c r="CA30" s="102"/>
      <c r="CB30" s="102"/>
      <c r="CC30" s="102"/>
      <c r="CD30" s="104" t="s">
        <v>1295</v>
      </c>
      <c r="CE30" s="104" t="s">
        <v>1296</v>
      </c>
      <c r="CF30" s="102"/>
      <c r="CG30" s="102"/>
      <c r="CH30" s="102"/>
      <c r="CI30" s="102"/>
      <c r="CJ30" s="102"/>
      <c r="CK30" s="102"/>
      <c r="CL30" s="102"/>
      <c r="CM30" s="102"/>
      <c r="CN30" s="102"/>
      <c r="CO30" s="102"/>
      <c r="CP30" s="102"/>
      <c r="CQ30" s="102"/>
      <c r="CR30" s="102"/>
      <c r="CS30" s="102"/>
      <c r="CT30" s="102"/>
      <c r="CU30" s="102"/>
      <c r="CV30" s="102"/>
    </row>
    <row r="31" spans="1:100" ht="19.5" customHeight="1" x14ac:dyDescent="0.2">
      <c r="A31" s="102" t="s">
        <v>187</v>
      </c>
      <c r="B31" s="102" t="s">
        <v>188</v>
      </c>
      <c r="C31" s="102" t="s">
        <v>43</v>
      </c>
      <c r="D31" s="102"/>
      <c r="E31" s="102"/>
      <c r="F31" s="102"/>
      <c r="G31" s="102"/>
      <c r="H31" s="102"/>
      <c r="I31" s="104" t="s">
        <v>1275</v>
      </c>
      <c r="J31" s="104" t="s">
        <v>1276</v>
      </c>
      <c r="K31" s="102" t="s">
        <v>1277</v>
      </c>
      <c r="L31" s="102" t="s">
        <v>1278</v>
      </c>
      <c r="M31" s="102" t="s">
        <v>1279</v>
      </c>
      <c r="N31" s="102" t="s">
        <v>1280</v>
      </c>
      <c r="O31" s="102"/>
      <c r="P31" s="102"/>
      <c r="Q31" s="102"/>
      <c r="R31" s="102" t="s">
        <v>1299</v>
      </c>
      <c r="S31" s="102"/>
      <c r="T31" s="102" t="s">
        <v>1300</v>
      </c>
      <c r="U31" s="102" t="s">
        <v>1301</v>
      </c>
      <c r="V31" s="102"/>
      <c r="W31" s="102" t="s">
        <v>1302</v>
      </c>
      <c r="X31" s="102" t="s">
        <v>1301</v>
      </c>
      <c r="Y31" s="102"/>
      <c r="Z31" s="102"/>
      <c r="AA31" s="102"/>
      <c r="AB31" s="102"/>
      <c r="AC31" s="104" t="s">
        <v>1281</v>
      </c>
      <c r="AD31" s="102"/>
      <c r="AE31" s="104" t="s">
        <v>1282</v>
      </c>
      <c r="AF31" s="104" t="s">
        <v>1283</v>
      </c>
      <c r="AG31" s="102" t="s">
        <v>310</v>
      </c>
      <c r="AH31" s="102" t="s">
        <v>1284</v>
      </c>
      <c r="AI31" s="102" t="s">
        <v>1285</v>
      </c>
      <c r="AJ31" s="104" t="s">
        <v>1286</v>
      </c>
      <c r="AK31" s="102"/>
      <c r="AL31" s="102"/>
      <c r="AM31" s="102"/>
      <c r="AN31" s="102"/>
      <c r="AO31" s="102"/>
      <c r="AP31" s="102"/>
      <c r="AQ31" s="102"/>
      <c r="AR31" s="102"/>
      <c r="AS31" s="102"/>
      <c r="AT31" s="102"/>
      <c r="AU31" s="102"/>
      <c r="AV31" s="102"/>
      <c r="AW31" s="102"/>
      <c r="AX31" s="102"/>
      <c r="AY31" s="102"/>
      <c r="AZ31" s="102"/>
      <c r="BA31" s="102"/>
      <c r="BB31" s="102"/>
      <c r="BC31" s="102"/>
      <c r="BD31" s="104" t="s">
        <v>1289</v>
      </c>
      <c r="BE31" s="104" t="s">
        <v>1290</v>
      </c>
      <c r="BF31" s="104" t="s">
        <v>1291</v>
      </c>
      <c r="BG31" s="104" t="s">
        <v>1292</v>
      </c>
      <c r="BH31" s="102"/>
      <c r="BI31" s="102"/>
      <c r="BJ31" s="102"/>
      <c r="BK31" s="102"/>
      <c r="BL31" s="102"/>
      <c r="BM31" s="102"/>
      <c r="BN31" s="102">
        <v>100</v>
      </c>
      <c r="BO31" s="102"/>
      <c r="BP31" s="102"/>
      <c r="BQ31" s="102"/>
      <c r="BR31" s="102"/>
      <c r="BS31" s="102"/>
      <c r="BT31" s="102"/>
      <c r="BU31" s="102"/>
      <c r="BV31" s="102"/>
      <c r="BW31" s="102"/>
      <c r="BX31" s="102"/>
      <c r="BY31" s="102"/>
      <c r="BZ31" s="102"/>
      <c r="CA31" s="102"/>
      <c r="CB31" s="102"/>
      <c r="CC31" s="102"/>
      <c r="CD31" s="104" t="s">
        <v>1295</v>
      </c>
      <c r="CE31" s="104" t="s">
        <v>1296</v>
      </c>
      <c r="CF31" s="102"/>
      <c r="CG31" s="102"/>
      <c r="CH31" s="102"/>
      <c r="CI31" s="102"/>
      <c r="CJ31" s="102"/>
      <c r="CK31" s="102"/>
      <c r="CL31" s="102"/>
      <c r="CM31" s="102"/>
      <c r="CN31" s="102"/>
      <c r="CO31" s="102"/>
      <c r="CP31" s="102"/>
      <c r="CQ31" s="102"/>
      <c r="CR31" s="102"/>
      <c r="CS31" s="102"/>
      <c r="CT31" s="102"/>
      <c r="CU31" s="102"/>
      <c r="CV31" s="102"/>
    </row>
    <row r="32" spans="1:100" ht="21.75" customHeight="1" x14ac:dyDescent="0.2">
      <c r="A32" s="102" t="s">
        <v>198</v>
      </c>
      <c r="B32" s="102" t="s">
        <v>199</v>
      </c>
      <c r="C32" s="102" t="s">
        <v>43</v>
      </c>
      <c r="D32" s="102"/>
      <c r="E32" s="102"/>
      <c r="F32" s="102"/>
      <c r="G32" s="102"/>
      <c r="H32" s="102"/>
      <c r="I32" s="104" t="s">
        <v>1275</v>
      </c>
      <c r="J32" s="104" t="s">
        <v>1276</v>
      </c>
      <c r="K32" s="102" t="s">
        <v>1277</v>
      </c>
      <c r="L32" s="102" t="s">
        <v>1278</v>
      </c>
      <c r="M32" s="102" t="s">
        <v>1279</v>
      </c>
      <c r="N32" s="102" t="s">
        <v>1280</v>
      </c>
      <c r="O32" s="102"/>
      <c r="P32" s="102"/>
      <c r="Q32" s="102">
        <v>150</v>
      </c>
      <c r="R32" s="102">
        <v>85</v>
      </c>
      <c r="S32" s="102">
        <v>5</v>
      </c>
      <c r="T32" s="102">
        <v>2</v>
      </c>
      <c r="U32" s="102">
        <v>0</v>
      </c>
      <c r="V32" s="102">
        <v>0</v>
      </c>
      <c r="W32" s="102">
        <v>3</v>
      </c>
      <c r="X32" s="102">
        <v>3</v>
      </c>
      <c r="Y32" s="102">
        <v>3</v>
      </c>
      <c r="Z32" s="102">
        <v>0</v>
      </c>
      <c r="AA32" s="102">
        <v>0</v>
      </c>
      <c r="AB32" s="102">
        <v>0</v>
      </c>
      <c r="AC32" s="104" t="s">
        <v>1281</v>
      </c>
      <c r="AD32" s="102"/>
      <c r="AE32" s="104" t="s">
        <v>1282</v>
      </c>
      <c r="AF32" s="104" t="s">
        <v>1283</v>
      </c>
      <c r="AG32" s="102" t="s">
        <v>310</v>
      </c>
      <c r="AH32" s="102" t="s">
        <v>1284</v>
      </c>
      <c r="AI32" s="102" t="s">
        <v>1285</v>
      </c>
      <c r="AJ32" s="104" t="s">
        <v>1286</v>
      </c>
      <c r="AK32" s="102"/>
      <c r="AL32" s="102"/>
      <c r="AM32" s="102">
        <v>200</v>
      </c>
      <c r="AN32" s="102">
        <v>97</v>
      </c>
      <c r="AO32" s="102">
        <v>11</v>
      </c>
      <c r="AP32" s="102">
        <v>10</v>
      </c>
      <c r="AQ32" s="102">
        <v>1</v>
      </c>
      <c r="AR32" s="102">
        <v>1</v>
      </c>
      <c r="AS32" s="102">
        <v>3</v>
      </c>
      <c r="AT32" s="102">
        <v>3</v>
      </c>
      <c r="AU32" s="102">
        <v>3</v>
      </c>
      <c r="AV32" s="102">
        <v>15</v>
      </c>
      <c r="AW32" s="102" t="s">
        <v>1298</v>
      </c>
      <c r="AX32" s="102">
        <v>14</v>
      </c>
      <c r="AY32" s="102" t="s">
        <v>1288</v>
      </c>
      <c r="AZ32" s="102"/>
      <c r="BA32" s="102">
        <v>1</v>
      </c>
      <c r="BB32" s="102"/>
      <c r="BC32" s="102"/>
      <c r="BD32" s="104" t="s">
        <v>1289</v>
      </c>
      <c r="BE32" s="104" t="s">
        <v>1290</v>
      </c>
      <c r="BF32" s="104" t="s">
        <v>1291</v>
      </c>
      <c r="BG32" s="104" t="s">
        <v>1292</v>
      </c>
      <c r="BH32" s="102"/>
      <c r="BI32" s="102"/>
      <c r="BJ32" s="102"/>
      <c r="BK32" s="102"/>
      <c r="BL32" s="102"/>
      <c r="BM32" s="102"/>
      <c r="BN32" s="102">
        <v>100</v>
      </c>
      <c r="BO32" s="102"/>
      <c r="BP32" s="102"/>
      <c r="BQ32" s="102"/>
      <c r="BR32" s="102"/>
      <c r="BS32" s="102"/>
      <c r="BT32" s="102"/>
      <c r="BU32" s="102"/>
      <c r="BV32" s="102"/>
      <c r="BW32" s="102"/>
      <c r="BX32" s="102"/>
      <c r="BY32" s="102"/>
      <c r="BZ32" s="102"/>
      <c r="CA32" s="102"/>
      <c r="CB32" s="102"/>
      <c r="CC32" s="102"/>
      <c r="CD32" s="104" t="s">
        <v>1295</v>
      </c>
      <c r="CE32" s="104" t="s">
        <v>1296</v>
      </c>
      <c r="CF32" s="102"/>
      <c r="CG32" s="102"/>
      <c r="CH32" s="102"/>
      <c r="CI32" s="102"/>
      <c r="CJ32" s="102"/>
      <c r="CK32" s="102"/>
      <c r="CL32" s="102"/>
      <c r="CM32" s="102"/>
      <c r="CN32" s="102"/>
      <c r="CO32" s="102"/>
      <c r="CP32" s="102"/>
      <c r="CQ32" s="102"/>
      <c r="CR32" s="102"/>
      <c r="CS32" s="102"/>
      <c r="CT32" s="102"/>
      <c r="CU32" s="102"/>
      <c r="CV32" s="102"/>
    </row>
    <row r="33" spans="1:100" ht="21.75" customHeight="1" x14ac:dyDescent="0.2">
      <c r="A33" s="102" t="s">
        <v>211</v>
      </c>
      <c r="B33" s="102" t="s">
        <v>212</v>
      </c>
      <c r="C33" s="102" t="s">
        <v>1268</v>
      </c>
      <c r="D33" s="102"/>
      <c r="E33" s="102"/>
      <c r="F33" s="102"/>
      <c r="G33" s="102"/>
      <c r="H33" s="102"/>
      <c r="I33" s="104" t="s">
        <v>1275</v>
      </c>
      <c r="J33" s="104" t="s">
        <v>1276</v>
      </c>
      <c r="K33" s="102" t="s">
        <v>1277</v>
      </c>
      <c r="L33" s="102" t="s">
        <v>1278</v>
      </c>
      <c r="M33" s="102" t="s">
        <v>1279</v>
      </c>
      <c r="N33" s="102" t="s">
        <v>1280</v>
      </c>
      <c r="O33" s="102"/>
      <c r="P33" s="102"/>
      <c r="Q33" s="102"/>
      <c r="R33" s="102" t="s">
        <v>1303</v>
      </c>
      <c r="S33" s="102"/>
      <c r="T33" s="102"/>
      <c r="U33" s="102"/>
      <c r="V33" s="102"/>
      <c r="W33" s="102" t="s">
        <v>1301</v>
      </c>
      <c r="X33" s="102" t="s">
        <v>1302</v>
      </c>
      <c r="Y33" s="102"/>
      <c r="Z33" s="102"/>
      <c r="AA33" s="102"/>
      <c r="AB33" s="102"/>
      <c r="AC33" s="104" t="s">
        <v>1281</v>
      </c>
      <c r="AD33" s="102"/>
      <c r="AE33" s="104" t="s">
        <v>1282</v>
      </c>
      <c r="AF33" s="104" t="s">
        <v>1283</v>
      </c>
      <c r="AG33" s="102" t="s">
        <v>310</v>
      </c>
      <c r="AH33" s="102" t="s">
        <v>1284</v>
      </c>
      <c r="AI33" s="102" t="s">
        <v>1285</v>
      </c>
      <c r="AJ33" s="104" t="s">
        <v>1286</v>
      </c>
      <c r="AK33" s="102"/>
      <c r="AL33" s="102"/>
      <c r="AM33" s="102"/>
      <c r="AN33" s="102"/>
      <c r="AO33" s="102"/>
      <c r="AP33" s="102"/>
      <c r="AQ33" s="102"/>
      <c r="AR33" s="102"/>
      <c r="AS33" s="102"/>
      <c r="AT33" s="102"/>
      <c r="AU33" s="102"/>
      <c r="AV33" s="102"/>
      <c r="AW33" s="102"/>
      <c r="AX33" s="102"/>
      <c r="AY33" s="102"/>
      <c r="AZ33" s="102"/>
      <c r="BA33" s="102"/>
      <c r="BB33" s="102"/>
      <c r="BC33" s="102"/>
      <c r="BD33" s="104"/>
      <c r="BE33" s="104"/>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row>
    <row r="34" spans="1:100" ht="27" customHeight="1" x14ac:dyDescent="0.2">
      <c r="A34" s="102" t="s">
        <v>218</v>
      </c>
      <c r="B34" s="102" t="s">
        <v>219</v>
      </c>
      <c r="C34" s="102" t="s">
        <v>43</v>
      </c>
      <c r="D34" s="102"/>
      <c r="E34" s="102"/>
      <c r="F34" s="102"/>
      <c r="G34" s="102"/>
      <c r="H34" s="102"/>
      <c r="I34" s="104" t="s">
        <v>1275</v>
      </c>
      <c r="J34" s="104" t="s">
        <v>1276</v>
      </c>
      <c r="K34" s="102" t="s">
        <v>1277</v>
      </c>
      <c r="L34" s="102" t="s">
        <v>1278</v>
      </c>
      <c r="M34" s="102" t="s">
        <v>1279</v>
      </c>
      <c r="N34" s="102" t="s">
        <v>1280</v>
      </c>
      <c r="O34" s="102"/>
      <c r="P34" s="102"/>
      <c r="Q34" s="102">
        <v>150</v>
      </c>
      <c r="R34" s="102">
        <v>23</v>
      </c>
      <c r="S34" s="102">
        <v>1</v>
      </c>
      <c r="T34" s="102">
        <v>0</v>
      </c>
      <c r="U34" s="102">
        <v>0</v>
      </c>
      <c r="V34" s="102">
        <v>0</v>
      </c>
      <c r="W34" s="102">
        <v>3</v>
      </c>
      <c r="X34" s="102">
        <v>3</v>
      </c>
      <c r="Y34" s="102">
        <v>3</v>
      </c>
      <c r="Z34" s="102"/>
      <c r="AA34" s="102"/>
      <c r="AB34" s="102"/>
      <c r="AC34" s="104" t="s">
        <v>1281</v>
      </c>
      <c r="AD34" s="102"/>
      <c r="AE34" s="104" t="s">
        <v>1282</v>
      </c>
      <c r="AF34" s="104" t="s">
        <v>1283</v>
      </c>
      <c r="AG34" s="102" t="s">
        <v>310</v>
      </c>
      <c r="AH34" s="102" t="s">
        <v>1284</v>
      </c>
      <c r="AI34" s="102" t="s">
        <v>1285</v>
      </c>
      <c r="AJ34" s="104" t="s">
        <v>1286</v>
      </c>
      <c r="AK34" s="102"/>
      <c r="AL34" s="102"/>
      <c r="AM34" s="102">
        <v>200</v>
      </c>
      <c r="AN34" s="102">
        <v>36</v>
      </c>
      <c r="AO34" s="102">
        <v>7</v>
      </c>
      <c r="AP34" s="102">
        <v>10</v>
      </c>
      <c r="AQ34" s="102">
        <v>2</v>
      </c>
      <c r="AR34" s="102">
        <v>0</v>
      </c>
      <c r="AS34" s="102">
        <v>6</v>
      </c>
      <c r="AT34" s="102">
        <v>6</v>
      </c>
      <c r="AU34" s="102">
        <v>6</v>
      </c>
      <c r="AV34" s="102">
        <v>12</v>
      </c>
      <c r="AW34" s="102" t="s">
        <v>1294</v>
      </c>
      <c r="AX34" s="102">
        <v>23</v>
      </c>
      <c r="AY34" s="102" t="s">
        <v>1288</v>
      </c>
      <c r="AZ34" s="102"/>
      <c r="BA34" s="102">
        <v>0</v>
      </c>
      <c r="BB34" s="102">
        <v>0</v>
      </c>
      <c r="BC34" s="102"/>
      <c r="BD34" s="104" t="s">
        <v>1289</v>
      </c>
      <c r="BE34" s="104" t="s">
        <v>1290</v>
      </c>
      <c r="BF34" s="104" t="s">
        <v>1291</v>
      </c>
      <c r="BG34" s="104" t="s">
        <v>1292</v>
      </c>
      <c r="BH34" s="102"/>
      <c r="BI34" s="102"/>
      <c r="BJ34" s="102"/>
      <c r="BK34" s="102"/>
      <c r="BL34" s="102"/>
      <c r="BM34" s="102"/>
      <c r="BN34" s="102">
        <v>100</v>
      </c>
      <c r="BO34" s="102"/>
      <c r="BP34" s="102"/>
      <c r="BQ34" s="102"/>
      <c r="BR34" s="102"/>
      <c r="BS34" s="102"/>
      <c r="BT34" s="102"/>
      <c r="BU34" s="102"/>
      <c r="BV34" s="102"/>
      <c r="BW34" s="102"/>
      <c r="BX34" s="102"/>
      <c r="BY34" s="102"/>
      <c r="BZ34" s="102"/>
      <c r="CA34" s="102"/>
      <c r="CB34" s="102"/>
      <c r="CC34" s="102"/>
      <c r="CD34" s="104" t="s">
        <v>1295</v>
      </c>
      <c r="CE34" s="104" t="s">
        <v>1296</v>
      </c>
      <c r="CF34" s="102"/>
      <c r="CG34" s="102"/>
      <c r="CH34" s="102"/>
      <c r="CI34" s="102"/>
      <c r="CJ34" s="102"/>
      <c r="CK34" s="102"/>
      <c r="CL34" s="102"/>
      <c r="CM34" s="102"/>
      <c r="CN34" s="102"/>
      <c r="CO34" s="102"/>
      <c r="CP34" s="102"/>
      <c r="CQ34" s="102"/>
      <c r="CR34" s="102"/>
      <c r="CS34" s="102"/>
      <c r="CT34" s="102"/>
      <c r="CU34" s="102"/>
      <c r="CV34" s="102"/>
    </row>
    <row r="35" spans="1:100" ht="26.25" customHeight="1" x14ac:dyDescent="0.2">
      <c r="A35" s="102" t="s">
        <v>228</v>
      </c>
      <c r="B35" s="102" t="s">
        <v>229</v>
      </c>
      <c r="C35" s="102" t="s">
        <v>1268</v>
      </c>
      <c r="D35" s="102"/>
      <c r="E35" s="102"/>
      <c r="F35" s="102"/>
      <c r="G35" s="102"/>
      <c r="H35" s="102"/>
      <c r="I35" s="104" t="s">
        <v>1275</v>
      </c>
      <c r="J35" s="104" t="s">
        <v>1276</v>
      </c>
      <c r="K35" s="102" t="s">
        <v>1277</v>
      </c>
      <c r="L35" s="102" t="s">
        <v>1278</v>
      </c>
      <c r="M35" s="102" t="s">
        <v>1279</v>
      </c>
      <c r="N35" s="102" t="s">
        <v>1280</v>
      </c>
      <c r="O35" s="102"/>
      <c r="P35" s="102"/>
      <c r="Q35" s="102">
        <v>150</v>
      </c>
      <c r="R35" s="102" t="s">
        <v>1304</v>
      </c>
      <c r="S35" s="102" t="s">
        <v>1305</v>
      </c>
      <c r="T35" s="105">
        <v>45323</v>
      </c>
      <c r="U35" s="102" t="s">
        <v>1306</v>
      </c>
      <c r="V35" s="102" t="s">
        <v>1306</v>
      </c>
      <c r="W35" s="102" t="s">
        <v>1306</v>
      </c>
      <c r="X35" s="102" t="s">
        <v>1306</v>
      </c>
      <c r="Y35" s="102" t="s">
        <v>1307</v>
      </c>
      <c r="Z35" s="102"/>
      <c r="AA35" s="102"/>
      <c r="AB35" s="102"/>
      <c r="AC35" s="104" t="s">
        <v>1281</v>
      </c>
      <c r="AD35" s="102"/>
      <c r="AE35" s="104" t="s">
        <v>1282</v>
      </c>
      <c r="AF35" s="104" t="s">
        <v>1283</v>
      </c>
      <c r="AG35" s="102" t="s">
        <v>310</v>
      </c>
      <c r="AH35" s="102" t="s">
        <v>1284</v>
      </c>
      <c r="AI35" s="102" t="s">
        <v>1285</v>
      </c>
      <c r="AJ35" s="104" t="s">
        <v>1286</v>
      </c>
      <c r="AK35" s="102"/>
      <c r="AL35" s="102"/>
      <c r="AM35" s="102"/>
      <c r="AN35" s="102"/>
      <c r="AO35" s="102"/>
      <c r="AP35" s="102"/>
      <c r="AQ35" s="102"/>
      <c r="AR35" s="102"/>
      <c r="AS35" s="102"/>
      <c r="AT35" s="102"/>
      <c r="AU35" s="102"/>
      <c r="AV35" s="102" t="s">
        <v>1308</v>
      </c>
      <c r="AW35" s="102"/>
      <c r="AX35" s="102"/>
      <c r="AY35" s="102"/>
      <c r="AZ35" s="102"/>
      <c r="BA35" s="102"/>
      <c r="BB35" s="102"/>
      <c r="BC35" s="102"/>
      <c r="BD35" s="104"/>
      <c r="BE35" s="104"/>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row>
    <row r="36" spans="1:100" ht="23.25" customHeight="1" x14ac:dyDescent="0.2">
      <c r="A36" s="102" t="s">
        <v>237</v>
      </c>
      <c r="B36" s="102" t="s">
        <v>238</v>
      </c>
      <c r="C36" s="102" t="s">
        <v>43</v>
      </c>
      <c r="D36" s="102"/>
      <c r="E36" s="102"/>
      <c r="F36" s="102"/>
      <c r="G36" s="102"/>
      <c r="H36" s="102"/>
      <c r="I36" s="104" t="s">
        <v>1275</v>
      </c>
      <c r="J36" s="104" t="s">
        <v>1276</v>
      </c>
      <c r="K36" s="102" t="s">
        <v>1277</v>
      </c>
      <c r="L36" s="102" t="s">
        <v>1278</v>
      </c>
      <c r="M36" s="102" t="s">
        <v>1279</v>
      </c>
      <c r="N36" s="102" t="s">
        <v>1280</v>
      </c>
      <c r="O36" s="102"/>
      <c r="P36" s="102"/>
      <c r="Q36" s="102">
        <v>133</v>
      </c>
      <c r="R36" s="102">
        <v>33</v>
      </c>
      <c r="S36" s="102">
        <v>9</v>
      </c>
      <c r="T36" s="102">
        <v>9</v>
      </c>
      <c r="U36" s="102">
        <v>0</v>
      </c>
      <c r="V36" s="102">
        <v>0</v>
      </c>
      <c r="W36" s="102">
        <v>3</v>
      </c>
      <c r="X36" s="102">
        <v>3</v>
      </c>
      <c r="Y36" s="102">
        <v>3</v>
      </c>
      <c r="Z36" s="102">
        <v>0</v>
      </c>
      <c r="AA36" s="102">
        <v>0</v>
      </c>
      <c r="AB36" s="102">
        <v>0</v>
      </c>
      <c r="AC36" s="104" t="s">
        <v>1281</v>
      </c>
      <c r="AD36" s="102"/>
      <c r="AE36" s="104" t="s">
        <v>1282</v>
      </c>
      <c r="AF36" s="104" t="s">
        <v>1283</v>
      </c>
      <c r="AG36" s="102" t="s">
        <v>310</v>
      </c>
      <c r="AH36" s="102" t="s">
        <v>1284</v>
      </c>
      <c r="AI36" s="102" t="s">
        <v>1285</v>
      </c>
      <c r="AJ36" s="104" t="s">
        <v>1286</v>
      </c>
      <c r="AK36" s="102"/>
      <c r="AL36" s="102"/>
      <c r="AM36" s="102">
        <v>200</v>
      </c>
      <c r="AN36" s="102">
        <v>47</v>
      </c>
      <c r="AO36" s="102">
        <v>5</v>
      </c>
      <c r="AP36" s="102">
        <v>15</v>
      </c>
      <c r="AQ36" s="102">
        <v>1</v>
      </c>
      <c r="AR36" s="102">
        <v>2</v>
      </c>
      <c r="AS36" s="102">
        <v>6</v>
      </c>
      <c r="AT36" s="102">
        <v>6</v>
      </c>
      <c r="AU36" s="102">
        <v>6</v>
      </c>
      <c r="AV36" s="102">
        <v>2</v>
      </c>
      <c r="AW36" s="102" t="s">
        <v>1309</v>
      </c>
      <c r="AX36" s="102">
        <v>10</v>
      </c>
      <c r="AY36" s="102" t="s">
        <v>1288</v>
      </c>
      <c r="AZ36" s="102"/>
      <c r="BA36" s="102">
        <v>2</v>
      </c>
      <c r="BB36" s="102"/>
      <c r="BC36" s="102"/>
      <c r="BD36" s="104" t="s">
        <v>1289</v>
      </c>
      <c r="BE36" s="104" t="s">
        <v>1290</v>
      </c>
      <c r="BF36" s="104" t="s">
        <v>1291</v>
      </c>
      <c r="BG36" s="104" t="s">
        <v>1292</v>
      </c>
      <c r="BH36" s="102"/>
      <c r="BI36" s="102"/>
      <c r="BJ36" s="102"/>
      <c r="BK36" s="102"/>
      <c r="BL36" s="102"/>
      <c r="BM36" s="102"/>
      <c r="BN36" s="102">
        <v>100</v>
      </c>
      <c r="BO36" s="102"/>
      <c r="BP36" s="102"/>
      <c r="BQ36" s="102"/>
      <c r="BR36" s="102"/>
      <c r="BS36" s="102"/>
      <c r="BT36" s="102"/>
      <c r="BU36" s="102"/>
      <c r="BV36" s="102"/>
      <c r="BW36" s="102"/>
      <c r="BX36" s="102"/>
      <c r="BY36" s="102"/>
      <c r="BZ36" s="102"/>
      <c r="CA36" s="102"/>
      <c r="CB36" s="102"/>
      <c r="CC36" s="102"/>
      <c r="CD36" s="104" t="s">
        <v>1295</v>
      </c>
      <c r="CE36" s="104" t="s">
        <v>1296</v>
      </c>
      <c r="CF36" s="102"/>
      <c r="CG36" s="102"/>
      <c r="CH36" s="102"/>
      <c r="CI36" s="102"/>
      <c r="CJ36" s="102"/>
      <c r="CK36" s="102"/>
      <c r="CL36" s="102"/>
      <c r="CM36" s="102"/>
      <c r="CN36" s="102"/>
      <c r="CO36" s="102"/>
      <c r="CP36" s="102"/>
      <c r="CQ36" s="102"/>
      <c r="CR36" s="102"/>
      <c r="CS36" s="102"/>
      <c r="CT36" s="102"/>
      <c r="CU36" s="102"/>
      <c r="CV36" s="102"/>
    </row>
    <row r="37" spans="1:100" ht="22.5" customHeight="1" x14ac:dyDescent="0.2">
      <c r="A37" s="102" t="s">
        <v>245</v>
      </c>
      <c r="B37" s="102" t="s">
        <v>246</v>
      </c>
      <c r="C37" s="102" t="s">
        <v>43</v>
      </c>
      <c r="D37" s="102"/>
      <c r="E37" s="102"/>
      <c r="F37" s="102"/>
      <c r="G37" s="102"/>
      <c r="H37" s="102"/>
      <c r="I37" s="104" t="s">
        <v>1275</v>
      </c>
      <c r="J37" s="104" t="s">
        <v>1276</v>
      </c>
      <c r="K37" s="102" t="s">
        <v>1277</v>
      </c>
      <c r="L37" s="102" t="s">
        <v>1278</v>
      </c>
      <c r="M37" s="102" t="s">
        <v>1279</v>
      </c>
      <c r="N37" s="102" t="s">
        <v>1280</v>
      </c>
      <c r="O37" s="102"/>
      <c r="P37" s="102"/>
      <c r="Q37" s="102">
        <v>150</v>
      </c>
      <c r="R37" s="102">
        <v>34</v>
      </c>
      <c r="S37" s="102">
        <v>1</v>
      </c>
      <c r="T37" s="102">
        <v>10</v>
      </c>
      <c r="U37" s="102">
        <v>0</v>
      </c>
      <c r="V37" s="102">
        <v>0</v>
      </c>
      <c r="W37" s="102">
        <v>3</v>
      </c>
      <c r="X37" s="102">
        <v>3</v>
      </c>
      <c r="Y37" s="102">
        <v>3</v>
      </c>
      <c r="Z37" s="102"/>
      <c r="AA37" s="102"/>
      <c r="AB37" s="102"/>
      <c r="AC37" s="104" t="s">
        <v>1281</v>
      </c>
      <c r="AD37" s="102"/>
      <c r="AE37" s="104" t="s">
        <v>1282</v>
      </c>
      <c r="AF37" s="104" t="s">
        <v>1283</v>
      </c>
      <c r="AG37" s="102" t="s">
        <v>310</v>
      </c>
      <c r="AH37" s="102" t="s">
        <v>1284</v>
      </c>
      <c r="AI37" s="102" t="s">
        <v>1285</v>
      </c>
      <c r="AJ37" s="104" t="s">
        <v>1286</v>
      </c>
      <c r="AK37" s="102"/>
      <c r="AL37" s="102"/>
      <c r="AM37" s="102">
        <v>200</v>
      </c>
      <c r="AN37" s="102">
        <v>70</v>
      </c>
      <c r="AO37" s="102">
        <v>5</v>
      </c>
      <c r="AP37" s="102">
        <v>6</v>
      </c>
      <c r="AQ37" s="102">
        <v>2</v>
      </c>
      <c r="AR37" s="102">
        <v>1</v>
      </c>
      <c r="AS37" s="102">
        <v>3</v>
      </c>
      <c r="AT37" s="102">
        <v>3</v>
      </c>
      <c r="AU37" s="102">
        <v>3</v>
      </c>
      <c r="AV37" s="102">
        <v>24</v>
      </c>
      <c r="AW37" s="102" t="s">
        <v>1309</v>
      </c>
      <c r="AX37" s="102">
        <v>8</v>
      </c>
      <c r="AY37" s="102"/>
      <c r="AZ37" s="102"/>
      <c r="BA37" s="102"/>
      <c r="BB37" s="102"/>
      <c r="BC37" s="102"/>
      <c r="BD37" s="104" t="s">
        <v>1289</v>
      </c>
      <c r="BE37" s="104" t="s">
        <v>1290</v>
      </c>
      <c r="BF37" s="104" t="s">
        <v>1291</v>
      </c>
      <c r="BG37" s="104" t="s">
        <v>1292</v>
      </c>
      <c r="BH37" s="102"/>
      <c r="BI37" s="102"/>
      <c r="BJ37" s="102"/>
      <c r="BK37" s="102"/>
      <c r="BL37" s="102"/>
      <c r="BM37" s="102"/>
      <c r="BN37" s="102">
        <v>100</v>
      </c>
      <c r="BO37" s="102"/>
      <c r="BP37" s="102"/>
      <c r="BQ37" s="102"/>
      <c r="BR37" s="102"/>
      <c r="BS37" s="102"/>
      <c r="BT37" s="102"/>
      <c r="BU37" s="102"/>
      <c r="BV37" s="102"/>
      <c r="BW37" s="102"/>
      <c r="BX37" s="102"/>
      <c r="BY37" s="102"/>
      <c r="BZ37" s="102"/>
      <c r="CA37" s="102"/>
      <c r="CB37" s="102"/>
      <c r="CC37" s="102"/>
      <c r="CD37" s="104" t="s">
        <v>1295</v>
      </c>
      <c r="CE37" s="104" t="s">
        <v>1296</v>
      </c>
      <c r="CF37" s="102"/>
      <c r="CG37" s="102"/>
      <c r="CH37" s="102"/>
      <c r="CI37" s="102"/>
      <c r="CJ37" s="102"/>
      <c r="CK37" s="102"/>
      <c r="CL37" s="102"/>
      <c r="CM37" s="102"/>
      <c r="CN37" s="102"/>
      <c r="CO37" s="102"/>
      <c r="CP37" s="102"/>
      <c r="CQ37" s="102"/>
      <c r="CR37" s="102"/>
      <c r="CS37" s="102"/>
      <c r="CT37" s="102"/>
      <c r="CU37" s="102"/>
      <c r="CV37" s="102"/>
    </row>
    <row r="38" spans="1:100" ht="21" customHeight="1" x14ac:dyDescent="0.2">
      <c r="A38" s="102" t="s">
        <v>255</v>
      </c>
      <c r="B38" s="102" t="s">
        <v>256</v>
      </c>
      <c r="C38" s="102" t="s">
        <v>43</v>
      </c>
      <c r="D38" s="102"/>
      <c r="E38" s="102"/>
      <c r="F38" s="102"/>
      <c r="G38" s="102"/>
      <c r="H38" s="102"/>
      <c r="I38" s="104" t="s">
        <v>1275</v>
      </c>
      <c r="J38" s="104" t="s">
        <v>1276</v>
      </c>
      <c r="K38" s="102" t="s">
        <v>1277</v>
      </c>
      <c r="L38" s="102" t="s">
        <v>1278</v>
      </c>
      <c r="M38" s="102" t="s">
        <v>1279</v>
      </c>
      <c r="N38" s="102" t="s">
        <v>1280</v>
      </c>
      <c r="O38" s="102"/>
      <c r="P38" s="102"/>
      <c r="Q38" s="102">
        <v>150</v>
      </c>
      <c r="R38" s="102">
        <v>43</v>
      </c>
      <c r="S38" s="102">
        <v>0</v>
      </c>
      <c r="T38" s="102">
        <v>0</v>
      </c>
      <c r="U38" s="102">
        <v>0</v>
      </c>
      <c r="V38" s="102">
        <v>0</v>
      </c>
      <c r="W38" s="102">
        <v>3</v>
      </c>
      <c r="X38" s="102">
        <v>3</v>
      </c>
      <c r="Y38" s="102">
        <v>3</v>
      </c>
      <c r="Z38" s="102"/>
      <c r="AA38" s="102"/>
      <c r="AB38" s="102"/>
      <c r="AC38" s="104" t="s">
        <v>1281</v>
      </c>
      <c r="AD38" s="102"/>
      <c r="AE38" s="104" t="s">
        <v>1282</v>
      </c>
      <c r="AF38" s="104" t="s">
        <v>1283</v>
      </c>
      <c r="AG38" s="102" t="s">
        <v>310</v>
      </c>
      <c r="AH38" s="102" t="s">
        <v>1284</v>
      </c>
      <c r="AI38" s="102" t="s">
        <v>1285</v>
      </c>
      <c r="AJ38" s="104" t="s">
        <v>1286</v>
      </c>
      <c r="AK38" s="102"/>
      <c r="AL38" s="102"/>
      <c r="AM38" s="102">
        <v>200</v>
      </c>
      <c r="AN38" s="102">
        <v>18</v>
      </c>
      <c r="AO38" s="102">
        <v>2</v>
      </c>
      <c r="AP38" s="102">
        <v>2</v>
      </c>
      <c r="AQ38" s="102">
        <v>2</v>
      </c>
      <c r="AR38" s="102">
        <v>0</v>
      </c>
      <c r="AS38" s="102">
        <v>3</v>
      </c>
      <c r="AT38" s="102">
        <v>3</v>
      </c>
      <c r="AU38" s="102">
        <v>3</v>
      </c>
      <c r="AV38" s="102">
        <v>6</v>
      </c>
      <c r="AW38" s="102" t="s">
        <v>1310</v>
      </c>
      <c r="AX38" s="102">
        <v>13</v>
      </c>
      <c r="AY38" s="102" t="s">
        <v>1311</v>
      </c>
      <c r="AZ38" s="102"/>
      <c r="BA38" s="102"/>
      <c r="BB38" s="102"/>
      <c r="BC38" s="102"/>
      <c r="BD38" s="104" t="s">
        <v>1289</v>
      </c>
      <c r="BE38" s="104" t="s">
        <v>1290</v>
      </c>
      <c r="BF38" s="104" t="s">
        <v>1291</v>
      </c>
      <c r="BG38" s="104" t="s">
        <v>1292</v>
      </c>
      <c r="BH38" s="102"/>
      <c r="BI38" s="102"/>
      <c r="BJ38" s="102"/>
      <c r="BK38" s="102"/>
      <c r="BL38" s="102"/>
      <c r="BM38" s="102"/>
      <c r="BN38" s="102">
        <v>100</v>
      </c>
      <c r="BO38" s="102"/>
      <c r="BP38" s="102"/>
      <c r="BQ38" s="102"/>
      <c r="BR38" s="102"/>
      <c r="BS38" s="102"/>
      <c r="BT38" s="102"/>
      <c r="BU38" s="102"/>
      <c r="BV38" s="102"/>
      <c r="BW38" s="102"/>
      <c r="BX38" s="102"/>
      <c r="BY38" s="102"/>
      <c r="BZ38" s="102"/>
      <c r="CA38" s="102"/>
      <c r="CB38" s="102"/>
      <c r="CC38" s="102"/>
      <c r="CD38" s="104" t="s">
        <v>1295</v>
      </c>
      <c r="CE38" s="104" t="s">
        <v>1296</v>
      </c>
      <c r="CF38" s="102"/>
      <c r="CG38" s="102"/>
      <c r="CH38" s="102"/>
      <c r="CI38" s="102"/>
      <c r="CJ38" s="102"/>
      <c r="CK38" s="102"/>
      <c r="CL38" s="102"/>
      <c r="CM38" s="102"/>
      <c r="CN38" s="102"/>
      <c r="CO38" s="102"/>
      <c r="CP38" s="102"/>
      <c r="CQ38" s="102"/>
      <c r="CR38" s="102"/>
      <c r="CS38" s="102"/>
      <c r="CT38" s="102"/>
      <c r="CU38" s="102"/>
      <c r="CV38" s="102"/>
    </row>
    <row r="39" spans="1:100" ht="23.25" customHeight="1" x14ac:dyDescent="0.2">
      <c r="A39" s="102" t="s">
        <v>267</v>
      </c>
      <c r="B39" s="102" t="s">
        <v>1312</v>
      </c>
      <c r="C39" s="102" t="s">
        <v>43</v>
      </c>
      <c r="D39" s="102"/>
      <c r="E39" s="102"/>
      <c r="F39" s="102"/>
      <c r="G39" s="102"/>
      <c r="H39" s="102"/>
      <c r="I39" s="104" t="s">
        <v>1275</v>
      </c>
      <c r="J39" s="104" t="s">
        <v>1276</v>
      </c>
      <c r="K39" s="102" t="s">
        <v>1277</v>
      </c>
      <c r="L39" s="102" t="s">
        <v>1278</v>
      </c>
      <c r="M39" s="102" t="s">
        <v>1279</v>
      </c>
      <c r="N39" s="102" t="s">
        <v>1280</v>
      </c>
      <c r="O39" s="102"/>
      <c r="P39" s="102"/>
      <c r="Q39" s="102">
        <v>150</v>
      </c>
      <c r="R39" s="102">
        <v>27</v>
      </c>
      <c r="S39" s="102">
        <v>30</v>
      </c>
      <c r="T39" s="102">
        <v>0</v>
      </c>
      <c r="U39" s="102">
        <v>0</v>
      </c>
      <c r="V39" s="102"/>
      <c r="W39" s="102">
        <v>3</v>
      </c>
      <c r="X39" s="102">
        <v>3</v>
      </c>
      <c r="Y39" s="102">
        <v>3</v>
      </c>
      <c r="Z39" s="102"/>
      <c r="AA39" s="102"/>
      <c r="AB39" s="102"/>
      <c r="AC39" s="104" t="s">
        <v>1281</v>
      </c>
      <c r="AD39" s="102"/>
      <c r="AE39" s="104" t="s">
        <v>1282</v>
      </c>
      <c r="AF39" s="104" t="s">
        <v>1283</v>
      </c>
      <c r="AG39" s="102" t="s">
        <v>310</v>
      </c>
      <c r="AH39" s="102" t="s">
        <v>1284</v>
      </c>
      <c r="AI39" s="102" t="s">
        <v>1285</v>
      </c>
      <c r="AJ39" s="104" t="s">
        <v>1286</v>
      </c>
      <c r="AK39" s="102"/>
      <c r="AL39" s="102"/>
      <c r="AM39" s="102">
        <v>200</v>
      </c>
      <c r="AN39" s="102">
        <v>76</v>
      </c>
      <c r="AO39" s="102">
        <v>5</v>
      </c>
      <c r="AP39" s="102">
        <v>15</v>
      </c>
      <c r="AQ39" s="102">
        <v>1</v>
      </c>
      <c r="AR39" s="102">
        <v>1</v>
      </c>
      <c r="AS39" s="102">
        <v>3</v>
      </c>
      <c r="AT39" s="102">
        <v>3</v>
      </c>
      <c r="AU39" s="102">
        <v>3</v>
      </c>
      <c r="AV39" s="102">
        <v>60</v>
      </c>
      <c r="AW39" s="102" t="s">
        <v>1313</v>
      </c>
      <c r="AX39" s="102">
        <v>0</v>
      </c>
      <c r="AY39" s="102">
        <v>0</v>
      </c>
      <c r="AZ39" s="102">
        <v>1</v>
      </c>
      <c r="BA39" s="102">
        <v>1</v>
      </c>
      <c r="BB39" s="102"/>
      <c r="BC39" s="102"/>
      <c r="BD39" s="104" t="s">
        <v>1289</v>
      </c>
      <c r="BE39" s="104" t="s">
        <v>1290</v>
      </c>
      <c r="BF39" s="104" t="s">
        <v>1291</v>
      </c>
      <c r="BG39" s="104" t="s">
        <v>1292</v>
      </c>
      <c r="BH39" s="102"/>
      <c r="BI39" s="102"/>
      <c r="BJ39" s="102"/>
      <c r="BK39" s="102"/>
      <c r="BL39" s="102"/>
      <c r="BM39" s="102"/>
      <c r="BN39" s="102">
        <v>100</v>
      </c>
      <c r="BO39" s="102"/>
      <c r="BP39" s="102"/>
      <c r="BQ39" s="102"/>
      <c r="BR39" s="102"/>
      <c r="BS39" s="102"/>
      <c r="BT39" s="102"/>
      <c r="BU39" s="104" t="s">
        <v>1314</v>
      </c>
      <c r="BV39" s="102"/>
      <c r="BW39" s="102"/>
      <c r="BX39" s="102"/>
      <c r="BY39" s="102"/>
      <c r="BZ39" s="102"/>
      <c r="CA39" s="102"/>
      <c r="CB39" s="102"/>
      <c r="CC39" s="102"/>
      <c r="CD39" s="104" t="s">
        <v>1295</v>
      </c>
      <c r="CE39" s="104" t="s">
        <v>1296</v>
      </c>
      <c r="CF39" s="102"/>
      <c r="CG39" s="102"/>
      <c r="CH39" s="102"/>
      <c r="CI39" s="102"/>
      <c r="CJ39" s="102"/>
      <c r="CK39" s="102"/>
      <c r="CL39" s="102"/>
      <c r="CM39" s="102"/>
      <c r="CN39" s="102"/>
      <c r="CO39" s="102"/>
      <c r="CP39" s="102"/>
      <c r="CQ39" s="102"/>
      <c r="CR39" s="102"/>
      <c r="CS39" s="102"/>
      <c r="CT39" s="102"/>
      <c r="CU39" s="102"/>
      <c r="CV39" s="102"/>
    </row>
    <row r="40" spans="1:100" ht="17.25" customHeight="1" x14ac:dyDescent="0.2">
      <c r="A40" s="102" t="s">
        <v>273</v>
      </c>
      <c r="B40" s="102" t="s">
        <v>274</v>
      </c>
      <c r="C40" s="102" t="s">
        <v>1268</v>
      </c>
      <c r="D40" s="102"/>
      <c r="E40" s="102"/>
      <c r="F40" s="102"/>
      <c r="G40" s="102"/>
      <c r="H40" s="102"/>
      <c r="I40" s="104" t="s">
        <v>1275</v>
      </c>
      <c r="J40" s="104" t="s">
        <v>1276</v>
      </c>
      <c r="K40" s="102" t="s">
        <v>1277</v>
      </c>
      <c r="L40" s="102" t="s">
        <v>1278</v>
      </c>
      <c r="M40" s="102" t="s">
        <v>1279</v>
      </c>
      <c r="N40" s="102" t="s">
        <v>1280</v>
      </c>
      <c r="O40" s="102"/>
      <c r="P40" s="102"/>
      <c r="Q40" s="102">
        <v>100</v>
      </c>
      <c r="R40" s="102">
        <v>30</v>
      </c>
      <c r="S40" s="102">
        <v>10</v>
      </c>
      <c r="T40" s="102">
        <v>5</v>
      </c>
      <c r="U40" s="102">
        <v>0</v>
      </c>
      <c r="V40" s="102"/>
      <c r="W40" s="102">
        <v>1</v>
      </c>
      <c r="X40" s="102">
        <v>2</v>
      </c>
      <c r="Y40" s="102">
        <v>2</v>
      </c>
      <c r="Z40" s="102">
        <v>0</v>
      </c>
      <c r="AA40" s="102">
        <v>0</v>
      </c>
      <c r="AB40" s="102">
        <v>0</v>
      </c>
      <c r="AC40" s="104" t="s">
        <v>1281</v>
      </c>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row>
    <row r="41" spans="1:100" ht="12.75" x14ac:dyDescent="0.2">
      <c r="A41" s="102" t="s">
        <v>283</v>
      </c>
      <c r="B41" s="102" t="s">
        <v>284</v>
      </c>
      <c r="C41" s="102" t="s">
        <v>1268</v>
      </c>
      <c r="D41" s="102"/>
      <c r="E41" s="102"/>
      <c r="F41" s="102"/>
      <c r="G41" s="102"/>
      <c r="H41" s="102"/>
      <c r="I41" s="104"/>
      <c r="J41" s="104"/>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row>
    <row r="42" spans="1:100" ht="18" customHeight="1" x14ac:dyDescent="0.2">
      <c r="A42" s="102" t="s">
        <v>293</v>
      </c>
      <c r="B42" s="106" t="s">
        <v>294</v>
      </c>
      <c r="C42" s="102" t="s">
        <v>43</v>
      </c>
      <c r="D42" s="102"/>
      <c r="E42" s="102"/>
      <c r="F42" s="102"/>
      <c r="G42" s="102"/>
      <c r="H42" s="102"/>
      <c r="I42" s="104" t="s">
        <v>1275</v>
      </c>
      <c r="J42" s="104" t="s">
        <v>1276</v>
      </c>
      <c r="K42" s="102" t="s">
        <v>1277</v>
      </c>
      <c r="L42" s="102" t="s">
        <v>1278</v>
      </c>
      <c r="M42" s="102" t="s">
        <v>1279</v>
      </c>
      <c r="N42" s="102" t="s">
        <v>1280</v>
      </c>
      <c r="O42" s="102"/>
      <c r="P42" s="102"/>
      <c r="Q42" s="102">
        <v>150</v>
      </c>
      <c r="R42" s="102">
        <v>58</v>
      </c>
      <c r="S42" s="102">
        <v>5</v>
      </c>
      <c r="T42" s="102">
        <v>2</v>
      </c>
      <c r="U42" s="102">
        <v>0</v>
      </c>
      <c r="V42" s="102">
        <v>0</v>
      </c>
      <c r="W42" s="102">
        <v>3</v>
      </c>
      <c r="X42" s="102">
        <v>3</v>
      </c>
      <c r="Y42" s="102">
        <v>3</v>
      </c>
      <c r="Z42" s="102">
        <v>0</v>
      </c>
      <c r="AA42" s="102">
        <v>0</v>
      </c>
      <c r="AB42" s="102"/>
      <c r="AC42" s="104" t="s">
        <v>1281</v>
      </c>
      <c r="AD42" s="102"/>
      <c r="AE42" s="104" t="s">
        <v>1282</v>
      </c>
      <c r="AF42" s="104" t="s">
        <v>1283</v>
      </c>
      <c r="AG42" s="102" t="s">
        <v>310</v>
      </c>
      <c r="AH42" s="102" t="s">
        <v>1284</v>
      </c>
      <c r="AI42" s="102" t="s">
        <v>1285</v>
      </c>
      <c r="AJ42" s="104" t="s">
        <v>1286</v>
      </c>
      <c r="AK42" s="102"/>
      <c r="AL42" s="102"/>
      <c r="AM42" s="102">
        <v>200</v>
      </c>
      <c r="AN42" s="102">
        <v>85</v>
      </c>
      <c r="AO42" s="102">
        <v>23</v>
      </c>
      <c r="AP42" s="102">
        <v>19</v>
      </c>
      <c r="AQ42" s="102">
        <v>6</v>
      </c>
      <c r="AR42" s="102">
        <v>0</v>
      </c>
      <c r="AS42" s="102">
        <v>3</v>
      </c>
      <c r="AT42" s="102">
        <v>3</v>
      </c>
      <c r="AU42" s="102">
        <v>3</v>
      </c>
      <c r="AV42" s="102">
        <v>55</v>
      </c>
      <c r="AW42" s="102" t="s">
        <v>1315</v>
      </c>
      <c r="AX42" s="102">
        <v>49</v>
      </c>
      <c r="AY42" s="104" t="s">
        <v>1316</v>
      </c>
      <c r="AZ42" s="102">
        <v>1</v>
      </c>
      <c r="BA42" s="102">
        <v>1</v>
      </c>
      <c r="BB42" s="102"/>
      <c r="BC42" s="102"/>
      <c r="BD42" s="104" t="s">
        <v>1289</v>
      </c>
      <c r="BE42" s="104" t="s">
        <v>1290</v>
      </c>
      <c r="BF42" s="104" t="s">
        <v>1291</v>
      </c>
      <c r="BG42" s="104" t="s">
        <v>1292</v>
      </c>
      <c r="BH42" s="102"/>
      <c r="BI42" s="102"/>
      <c r="BJ42" s="102"/>
      <c r="BK42" s="102"/>
      <c r="BL42" s="102"/>
      <c r="BM42" s="102"/>
      <c r="BN42" s="102">
        <v>100</v>
      </c>
      <c r="BO42" s="102"/>
      <c r="BP42" s="102"/>
      <c r="BQ42" s="102"/>
      <c r="BR42" s="102"/>
      <c r="BS42" s="102"/>
      <c r="BT42" s="102"/>
      <c r="BU42" s="102" t="s">
        <v>1317</v>
      </c>
      <c r="BV42" s="102"/>
      <c r="BW42" s="102"/>
      <c r="BX42" s="102"/>
      <c r="BY42" s="102"/>
      <c r="BZ42" s="102"/>
      <c r="CA42" s="102"/>
      <c r="CB42" s="102"/>
      <c r="CC42" s="102"/>
      <c r="CD42" s="104" t="s">
        <v>1295</v>
      </c>
      <c r="CE42" s="104" t="s">
        <v>1296</v>
      </c>
      <c r="CF42" s="102"/>
      <c r="CG42" s="102"/>
      <c r="CH42" s="102"/>
      <c r="CI42" s="102"/>
      <c r="CJ42" s="102"/>
      <c r="CK42" s="102"/>
      <c r="CL42" s="102"/>
      <c r="CM42" s="102"/>
      <c r="CN42" s="102"/>
      <c r="CO42" s="102"/>
      <c r="CP42" s="102"/>
      <c r="CQ42" s="102"/>
      <c r="CR42" s="102"/>
      <c r="CS42" s="102"/>
      <c r="CT42" s="102"/>
      <c r="CU42" s="102"/>
      <c r="CV42" s="102"/>
    </row>
    <row r="43" spans="1:100" ht="22.5" customHeight="1" x14ac:dyDescent="0.2">
      <c r="A43" s="102" t="s">
        <v>302</v>
      </c>
      <c r="B43" s="102" t="s">
        <v>303</v>
      </c>
      <c r="C43" s="102" t="s">
        <v>43</v>
      </c>
      <c r="D43" s="102"/>
      <c r="E43" s="102"/>
      <c r="F43" s="102"/>
      <c r="G43" s="102"/>
      <c r="H43" s="102"/>
      <c r="I43" s="104" t="s">
        <v>1275</v>
      </c>
      <c r="J43" s="104" t="s">
        <v>1276</v>
      </c>
      <c r="K43" s="102" t="s">
        <v>1277</v>
      </c>
      <c r="L43" s="102" t="s">
        <v>1278</v>
      </c>
      <c r="M43" s="102" t="s">
        <v>1279</v>
      </c>
      <c r="N43" s="102" t="s">
        <v>1280</v>
      </c>
      <c r="O43" s="102"/>
      <c r="P43" s="102"/>
      <c r="Q43" s="102">
        <v>150</v>
      </c>
      <c r="R43" s="102">
        <v>34</v>
      </c>
      <c r="S43" s="102">
        <v>6</v>
      </c>
      <c r="T43" s="102">
        <v>1</v>
      </c>
      <c r="U43" s="102">
        <v>2</v>
      </c>
      <c r="V43" s="102">
        <v>2</v>
      </c>
      <c r="W43" s="102">
        <v>2</v>
      </c>
      <c r="X43" s="102">
        <v>2</v>
      </c>
      <c r="Y43" s="102">
        <v>3</v>
      </c>
      <c r="Z43" s="102">
        <v>0</v>
      </c>
      <c r="AA43" s="102">
        <v>0</v>
      </c>
      <c r="AB43" s="102">
        <v>0</v>
      </c>
      <c r="AC43" s="104" t="s">
        <v>1281</v>
      </c>
      <c r="AD43" s="102"/>
      <c r="AE43" s="104" t="s">
        <v>1282</v>
      </c>
      <c r="AF43" s="104" t="s">
        <v>1283</v>
      </c>
      <c r="AG43" s="102" t="s">
        <v>310</v>
      </c>
      <c r="AH43" s="102" t="s">
        <v>1284</v>
      </c>
      <c r="AI43" s="102" t="s">
        <v>1285</v>
      </c>
      <c r="AJ43" s="104" t="s">
        <v>1286</v>
      </c>
      <c r="AK43" s="102"/>
      <c r="AL43" s="102"/>
      <c r="AM43" s="102">
        <v>200</v>
      </c>
      <c r="AN43" s="102">
        <v>21</v>
      </c>
      <c r="AO43" s="102">
        <v>1</v>
      </c>
      <c r="AP43" s="102">
        <v>2</v>
      </c>
      <c r="AQ43" s="102">
        <v>2</v>
      </c>
      <c r="AR43" s="102">
        <v>0</v>
      </c>
      <c r="AS43" s="102">
        <v>3</v>
      </c>
      <c r="AT43" s="102">
        <v>3</v>
      </c>
      <c r="AU43" s="102">
        <v>3</v>
      </c>
      <c r="AV43" s="102">
        <v>5</v>
      </c>
      <c r="AW43" s="102" t="s">
        <v>1318</v>
      </c>
      <c r="AX43" s="102">
        <v>0</v>
      </c>
      <c r="AY43" s="102"/>
      <c r="AZ43" s="102">
        <v>0</v>
      </c>
      <c r="BA43" s="102">
        <v>0</v>
      </c>
      <c r="BB43" s="102"/>
      <c r="BC43" s="102"/>
      <c r="BD43" s="104" t="s">
        <v>1289</v>
      </c>
      <c r="BE43" s="104" t="s">
        <v>1290</v>
      </c>
      <c r="BF43" s="104" t="s">
        <v>1291</v>
      </c>
      <c r="BG43" s="104" t="s">
        <v>1292</v>
      </c>
      <c r="BH43" s="102"/>
      <c r="BI43" s="102"/>
      <c r="BJ43" s="102"/>
      <c r="BK43" s="102"/>
      <c r="BL43" s="102"/>
      <c r="BM43" s="102"/>
      <c r="BN43" s="102">
        <v>100</v>
      </c>
      <c r="BO43" s="102"/>
      <c r="BP43" s="102"/>
      <c r="BQ43" s="102"/>
      <c r="BR43" s="102"/>
      <c r="BS43" s="102"/>
      <c r="BT43" s="102"/>
      <c r="BU43" s="102"/>
      <c r="BV43" s="102"/>
      <c r="BW43" s="102"/>
      <c r="BX43" s="102"/>
      <c r="BY43" s="102"/>
      <c r="BZ43" s="102"/>
      <c r="CA43" s="102"/>
      <c r="CB43" s="102"/>
      <c r="CC43" s="102"/>
      <c r="CD43" s="104" t="s">
        <v>1295</v>
      </c>
      <c r="CE43" s="104" t="s">
        <v>1296</v>
      </c>
      <c r="CF43" s="102"/>
      <c r="CG43" s="102"/>
      <c r="CH43" s="102"/>
      <c r="CI43" s="102"/>
      <c r="CJ43" s="102"/>
      <c r="CK43" s="102"/>
      <c r="CL43" s="102"/>
      <c r="CM43" s="102"/>
      <c r="CN43" s="102"/>
      <c r="CO43" s="102"/>
      <c r="CP43" s="102"/>
      <c r="CQ43" s="102"/>
      <c r="CR43" s="102"/>
      <c r="CS43" s="102"/>
      <c r="CT43" s="102"/>
      <c r="CU43" s="102"/>
      <c r="CV43" s="102"/>
    </row>
    <row r="44" spans="1:100" ht="20.25" customHeight="1" x14ac:dyDescent="0.2">
      <c r="A44" s="102" t="s">
        <v>312</v>
      </c>
      <c r="B44" s="102" t="s">
        <v>313</v>
      </c>
      <c r="C44" s="102" t="s">
        <v>43</v>
      </c>
      <c r="D44" s="102"/>
      <c r="E44" s="102"/>
      <c r="F44" s="102"/>
      <c r="G44" s="102"/>
      <c r="H44" s="102"/>
      <c r="I44" s="104" t="s">
        <v>1275</v>
      </c>
      <c r="J44" s="104" t="s">
        <v>1276</v>
      </c>
      <c r="K44" s="102" t="s">
        <v>1277</v>
      </c>
      <c r="L44" s="102" t="s">
        <v>1278</v>
      </c>
      <c r="M44" s="102" t="s">
        <v>1279</v>
      </c>
      <c r="N44" s="102" t="s">
        <v>1280</v>
      </c>
      <c r="O44" s="102"/>
      <c r="P44" s="102"/>
      <c r="Q44" s="102">
        <v>150</v>
      </c>
      <c r="R44" s="102">
        <v>14</v>
      </c>
      <c r="S44" s="102">
        <v>0</v>
      </c>
      <c r="T44" s="102">
        <v>0</v>
      </c>
      <c r="U44" s="102">
        <v>1</v>
      </c>
      <c r="V44" s="102"/>
      <c r="W44" s="102" t="s">
        <v>1319</v>
      </c>
      <c r="X44" s="102" t="s">
        <v>1320</v>
      </c>
      <c r="Y44" s="102" t="s">
        <v>1321</v>
      </c>
      <c r="Z44" s="102"/>
      <c r="AA44" s="102"/>
      <c r="AB44" s="102"/>
      <c r="AC44" s="104" t="s">
        <v>1281</v>
      </c>
      <c r="AD44" s="102"/>
      <c r="AE44" s="104" t="s">
        <v>1282</v>
      </c>
      <c r="AF44" s="104" t="s">
        <v>1283</v>
      </c>
      <c r="AG44" s="102" t="s">
        <v>310</v>
      </c>
      <c r="AH44" s="102" t="s">
        <v>1284</v>
      </c>
      <c r="AI44" s="102" t="s">
        <v>1285</v>
      </c>
      <c r="AJ44" s="104" t="s">
        <v>1286</v>
      </c>
      <c r="AK44" s="102"/>
      <c r="AL44" s="102"/>
      <c r="AM44" s="102"/>
      <c r="AN44" s="102"/>
      <c r="AO44" s="102"/>
      <c r="AP44" s="102"/>
      <c r="AQ44" s="102"/>
      <c r="AR44" s="102"/>
      <c r="AS44" s="102"/>
      <c r="AT44" s="102"/>
      <c r="AU44" s="102"/>
      <c r="AV44" s="102"/>
      <c r="AW44" s="102"/>
      <c r="AX44" s="102"/>
      <c r="AY44" s="102"/>
      <c r="AZ44" s="102"/>
      <c r="BA44" s="102"/>
      <c r="BB44" s="102"/>
      <c r="BC44" s="102"/>
      <c r="BD44" s="104" t="s">
        <v>1289</v>
      </c>
      <c r="BE44" s="104" t="s">
        <v>1290</v>
      </c>
      <c r="BF44" s="104" t="s">
        <v>1291</v>
      </c>
      <c r="BG44" s="104" t="s">
        <v>1292</v>
      </c>
      <c r="BH44" s="102"/>
      <c r="BI44" s="102"/>
      <c r="BJ44" s="102"/>
      <c r="BK44" s="102"/>
      <c r="BL44" s="102"/>
      <c r="BM44" s="102"/>
      <c r="BN44" s="102">
        <v>100</v>
      </c>
      <c r="BO44" s="102"/>
      <c r="BP44" s="102"/>
      <c r="BQ44" s="102"/>
      <c r="BR44" s="102"/>
      <c r="BS44" s="102"/>
      <c r="BT44" s="102"/>
      <c r="BU44" s="102"/>
      <c r="BV44" s="102"/>
      <c r="BW44" s="102"/>
      <c r="BX44" s="102"/>
      <c r="BY44" s="102"/>
      <c r="BZ44" s="102"/>
      <c r="CA44" s="102"/>
      <c r="CB44" s="102"/>
      <c r="CC44" s="102"/>
      <c r="CD44" s="104" t="s">
        <v>1295</v>
      </c>
      <c r="CE44" s="104" t="s">
        <v>1296</v>
      </c>
      <c r="CF44" s="102"/>
      <c r="CG44" s="102"/>
      <c r="CH44" s="102"/>
      <c r="CI44" s="102"/>
      <c r="CJ44" s="102"/>
      <c r="CK44" s="102"/>
      <c r="CL44" s="102"/>
      <c r="CM44" s="102"/>
      <c r="CN44" s="102"/>
      <c r="CO44" s="102"/>
      <c r="CP44" s="102"/>
      <c r="CQ44" s="102"/>
      <c r="CR44" s="102"/>
      <c r="CS44" s="102"/>
      <c r="CT44" s="102"/>
      <c r="CU44" s="102"/>
      <c r="CV44" s="102"/>
    </row>
    <row r="45" spans="1:100" ht="18.75" customHeight="1" x14ac:dyDescent="0.2">
      <c r="A45" s="102" t="s">
        <v>319</v>
      </c>
      <c r="B45" s="102" t="s">
        <v>320</v>
      </c>
      <c r="C45" s="102" t="s">
        <v>43</v>
      </c>
      <c r="D45" s="102"/>
      <c r="E45" s="102"/>
      <c r="F45" s="102"/>
      <c r="G45" s="102"/>
      <c r="H45" s="102"/>
      <c r="I45" s="104" t="s">
        <v>1275</v>
      </c>
      <c r="J45" s="104" t="s">
        <v>1276</v>
      </c>
      <c r="K45" s="102" t="s">
        <v>1277</v>
      </c>
      <c r="L45" s="102" t="s">
        <v>1278</v>
      </c>
      <c r="M45" s="102" t="s">
        <v>1279</v>
      </c>
      <c r="N45" s="102" t="s">
        <v>1280</v>
      </c>
      <c r="O45" s="102"/>
      <c r="P45" s="102"/>
      <c r="Q45" s="102">
        <v>125</v>
      </c>
      <c r="R45" s="102">
        <v>22</v>
      </c>
      <c r="S45" s="102">
        <v>11</v>
      </c>
      <c r="T45" s="102">
        <v>5</v>
      </c>
      <c r="U45" s="102">
        <v>0</v>
      </c>
      <c r="V45" s="102">
        <v>0</v>
      </c>
      <c r="W45" s="102">
        <v>3</v>
      </c>
      <c r="X45" s="102">
        <v>3</v>
      </c>
      <c r="Y45" s="102">
        <v>3</v>
      </c>
      <c r="Z45" s="102">
        <v>0</v>
      </c>
      <c r="AA45" s="102">
        <v>0</v>
      </c>
      <c r="AB45" s="102">
        <v>0</v>
      </c>
      <c r="AC45" s="104" t="s">
        <v>1281</v>
      </c>
      <c r="AD45" s="102"/>
      <c r="AE45" s="104" t="s">
        <v>1282</v>
      </c>
      <c r="AF45" s="104" t="s">
        <v>1283</v>
      </c>
      <c r="AG45" s="102" t="s">
        <v>310</v>
      </c>
      <c r="AH45" s="102" t="s">
        <v>1284</v>
      </c>
      <c r="AI45" s="102" t="s">
        <v>1285</v>
      </c>
      <c r="AJ45" s="104" t="s">
        <v>1286</v>
      </c>
      <c r="AK45" s="102"/>
      <c r="AL45" s="102"/>
      <c r="AM45" s="102">
        <v>200</v>
      </c>
      <c r="AN45" s="102">
        <v>57</v>
      </c>
      <c r="AO45" s="102"/>
      <c r="AP45" s="102"/>
      <c r="AQ45" s="102"/>
      <c r="AR45" s="102"/>
      <c r="AS45" s="102"/>
      <c r="AT45" s="102"/>
      <c r="AU45" s="102"/>
      <c r="AV45" s="102"/>
      <c r="AW45" s="102"/>
      <c r="AX45" s="102"/>
      <c r="AY45" s="102"/>
      <c r="AZ45" s="102"/>
      <c r="BA45" s="102"/>
      <c r="BB45" s="102"/>
      <c r="BC45" s="102"/>
      <c r="BD45" s="104" t="s">
        <v>1289</v>
      </c>
      <c r="BE45" s="104" t="s">
        <v>1290</v>
      </c>
      <c r="BF45" s="104" t="s">
        <v>1291</v>
      </c>
      <c r="BG45" s="104" t="s">
        <v>1292</v>
      </c>
      <c r="BH45" s="102"/>
      <c r="BI45" s="102"/>
      <c r="BJ45" s="102"/>
      <c r="BK45" s="102"/>
      <c r="BL45" s="102"/>
      <c r="BM45" s="102"/>
      <c r="BN45" s="102">
        <v>100</v>
      </c>
      <c r="BO45" s="102"/>
      <c r="BP45" s="102"/>
      <c r="BQ45" s="102"/>
      <c r="BR45" s="102"/>
      <c r="BS45" s="102"/>
      <c r="BT45" s="102"/>
      <c r="BU45" s="102"/>
      <c r="BV45" s="102"/>
      <c r="BW45" s="102"/>
      <c r="BX45" s="102"/>
      <c r="BY45" s="102"/>
      <c r="BZ45" s="102"/>
      <c r="CA45" s="102"/>
      <c r="CB45" s="102"/>
      <c r="CC45" s="102"/>
      <c r="CD45" s="104" t="s">
        <v>1295</v>
      </c>
      <c r="CE45" s="104" t="s">
        <v>1296</v>
      </c>
      <c r="CF45" s="102"/>
      <c r="CG45" s="102"/>
      <c r="CH45" s="102"/>
      <c r="CI45" s="102"/>
      <c r="CJ45" s="102"/>
      <c r="CK45" s="102"/>
      <c r="CL45" s="102"/>
      <c r="CM45" s="102"/>
      <c r="CN45" s="102"/>
      <c r="CO45" s="102"/>
      <c r="CP45" s="102"/>
      <c r="CQ45" s="102"/>
      <c r="CR45" s="102"/>
      <c r="CS45" s="102"/>
      <c r="CT45" s="102"/>
      <c r="CU45" s="102"/>
      <c r="CV45" s="102"/>
    </row>
    <row r="46" spans="1:100" ht="20.25" customHeight="1" x14ac:dyDescent="0.2">
      <c r="A46" s="102" t="s">
        <v>328</v>
      </c>
      <c r="B46" s="102" t="s">
        <v>329</v>
      </c>
      <c r="C46" s="102" t="s">
        <v>43</v>
      </c>
      <c r="D46" s="102"/>
      <c r="E46" s="102"/>
      <c r="F46" s="102"/>
      <c r="G46" s="102"/>
      <c r="H46" s="102"/>
      <c r="I46" s="104" t="s">
        <v>1275</v>
      </c>
      <c r="J46" s="104" t="s">
        <v>1276</v>
      </c>
      <c r="K46" s="102" t="s">
        <v>1277</v>
      </c>
      <c r="L46" s="102" t="s">
        <v>1278</v>
      </c>
      <c r="M46" s="102" t="s">
        <v>1279</v>
      </c>
      <c r="N46" s="102" t="s">
        <v>1280</v>
      </c>
      <c r="O46" s="102"/>
      <c r="P46" s="102"/>
      <c r="Q46" s="102"/>
      <c r="R46" s="102" t="s">
        <v>1322</v>
      </c>
      <c r="S46" s="102"/>
      <c r="T46" s="102"/>
      <c r="U46" s="102"/>
      <c r="V46" s="102"/>
      <c r="W46" s="102" t="s">
        <v>1323</v>
      </c>
      <c r="X46" s="102" t="s">
        <v>1306</v>
      </c>
      <c r="Y46" s="102" t="s">
        <v>1324</v>
      </c>
      <c r="Z46" s="102"/>
      <c r="AA46" s="102"/>
      <c r="AB46" s="102"/>
      <c r="AC46" s="104" t="s">
        <v>1281</v>
      </c>
      <c r="AD46" s="102"/>
      <c r="AE46" s="104" t="s">
        <v>1282</v>
      </c>
      <c r="AF46" s="104" t="s">
        <v>1283</v>
      </c>
      <c r="AG46" s="102" t="s">
        <v>310</v>
      </c>
      <c r="AH46" s="102" t="s">
        <v>1284</v>
      </c>
      <c r="AI46" s="102" t="s">
        <v>1285</v>
      </c>
      <c r="AJ46" s="104" t="s">
        <v>1286</v>
      </c>
      <c r="AK46" s="102"/>
      <c r="AL46" s="102"/>
      <c r="AM46" s="102"/>
      <c r="AN46" s="102"/>
      <c r="AO46" s="102"/>
      <c r="AP46" s="102"/>
      <c r="AQ46" s="102"/>
      <c r="AR46" s="102"/>
      <c r="AS46" s="102"/>
      <c r="AT46" s="102"/>
      <c r="AU46" s="102"/>
      <c r="AV46" s="102" t="s">
        <v>1325</v>
      </c>
      <c r="AW46" s="102"/>
      <c r="AX46" s="102"/>
      <c r="AY46" s="102"/>
      <c r="AZ46" s="102"/>
      <c r="BA46" s="102"/>
      <c r="BB46" s="102"/>
      <c r="BC46" s="102"/>
      <c r="BD46" s="104" t="s">
        <v>1289</v>
      </c>
      <c r="BE46" s="104" t="s">
        <v>1290</v>
      </c>
      <c r="BF46" s="104" t="s">
        <v>1291</v>
      </c>
      <c r="BG46" s="104" t="s">
        <v>1292</v>
      </c>
      <c r="BH46" s="102"/>
      <c r="BI46" s="102"/>
      <c r="BJ46" s="102"/>
      <c r="BK46" s="102"/>
      <c r="BL46" s="102"/>
      <c r="BM46" s="102"/>
      <c r="BN46" s="102">
        <v>100</v>
      </c>
      <c r="BO46" s="102"/>
      <c r="BP46" s="102"/>
      <c r="BQ46" s="102"/>
      <c r="BR46" s="102"/>
      <c r="BS46" s="102"/>
      <c r="BT46" s="102"/>
      <c r="BU46" s="102"/>
      <c r="BV46" s="102"/>
      <c r="BW46" s="102"/>
      <c r="BX46" s="102"/>
      <c r="BY46" s="102"/>
      <c r="BZ46" s="102"/>
      <c r="CA46" s="102"/>
      <c r="CB46" s="102"/>
      <c r="CC46" s="102"/>
      <c r="CD46" s="104" t="s">
        <v>1295</v>
      </c>
      <c r="CE46" s="104" t="s">
        <v>1296</v>
      </c>
      <c r="CF46" s="102"/>
      <c r="CG46" s="102"/>
      <c r="CH46" s="102"/>
      <c r="CI46" s="102"/>
      <c r="CJ46" s="102"/>
      <c r="CK46" s="102"/>
      <c r="CL46" s="102"/>
      <c r="CM46" s="102"/>
      <c r="CN46" s="102"/>
      <c r="CO46" s="102"/>
      <c r="CP46" s="102"/>
      <c r="CQ46" s="102"/>
      <c r="CR46" s="102"/>
      <c r="CS46" s="102"/>
      <c r="CT46" s="102"/>
      <c r="CU46" s="102"/>
      <c r="CV46" s="102"/>
    </row>
    <row r="47" spans="1:100" ht="18.75" customHeight="1" x14ac:dyDescent="0.2">
      <c r="A47" s="102" t="s">
        <v>337</v>
      </c>
      <c r="B47" s="102" t="s">
        <v>338</v>
      </c>
      <c r="C47" s="102" t="s">
        <v>43</v>
      </c>
      <c r="D47" s="102"/>
      <c r="E47" s="102"/>
      <c r="F47" s="102"/>
      <c r="G47" s="102"/>
      <c r="H47" s="102"/>
      <c r="I47" s="104" t="s">
        <v>1275</v>
      </c>
      <c r="J47" s="104" t="s">
        <v>1276</v>
      </c>
      <c r="K47" s="102" t="s">
        <v>1277</v>
      </c>
      <c r="L47" s="102" t="s">
        <v>1278</v>
      </c>
      <c r="M47" s="102" t="s">
        <v>1279</v>
      </c>
      <c r="N47" s="102" t="s">
        <v>1280</v>
      </c>
      <c r="O47" s="102"/>
      <c r="P47" s="102"/>
      <c r="Q47" s="102"/>
      <c r="R47" s="102" t="s">
        <v>1326</v>
      </c>
      <c r="S47" s="102" t="s">
        <v>1327</v>
      </c>
      <c r="T47" s="102"/>
      <c r="U47" s="102"/>
      <c r="V47" s="102"/>
      <c r="W47" s="102" t="s">
        <v>1300</v>
      </c>
      <c r="X47" s="102" t="s">
        <v>1328</v>
      </c>
      <c r="Y47" s="102" t="s">
        <v>1305</v>
      </c>
      <c r="Z47" s="102"/>
      <c r="AA47" s="102"/>
      <c r="AB47" s="102"/>
      <c r="AC47" s="104" t="s">
        <v>1281</v>
      </c>
      <c r="AD47" s="102"/>
      <c r="AE47" s="104" t="s">
        <v>1282</v>
      </c>
      <c r="AF47" s="104" t="s">
        <v>1283</v>
      </c>
      <c r="AG47" s="102" t="s">
        <v>310</v>
      </c>
      <c r="AH47" s="102" t="s">
        <v>1284</v>
      </c>
      <c r="AI47" s="102" t="s">
        <v>1285</v>
      </c>
      <c r="AJ47" s="104" t="s">
        <v>1286</v>
      </c>
      <c r="AK47" s="102"/>
      <c r="AL47" s="102"/>
      <c r="AM47" s="102"/>
      <c r="AN47" s="102"/>
      <c r="AO47" s="102"/>
      <c r="AP47" s="102"/>
      <c r="AQ47" s="102"/>
      <c r="AR47" s="102"/>
      <c r="AS47" s="102"/>
      <c r="AT47" s="102"/>
      <c r="AU47" s="102"/>
      <c r="AV47" s="102"/>
      <c r="AW47" s="102"/>
      <c r="AX47" s="102"/>
      <c r="AY47" s="102"/>
      <c r="AZ47" s="102"/>
      <c r="BA47" s="102"/>
      <c r="BB47" s="102"/>
      <c r="BC47" s="102"/>
      <c r="BD47" s="104" t="s">
        <v>1289</v>
      </c>
      <c r="BE47" s="104" t="s">
        <v>1290</v>
      </c>
      <c r="BF47" s="104" t="s">
        <v>1291</v>
      </c>
      <c r="BG47" s="104" t="s">
        <v>1292</v>
      </c>
      <c r="BH47" s="102"/>
      <c r="BI47" s="102"/>
      <c r="BJ47" s="102"/>
      <c r="BK47" s="102"/>
      <c r="BL47" s="102"/>
      <c r="BM47" s="102"/>
      <c r="BN47" s="102">
        <v>100</v>
      </c>
      <c r="BO47" s="102"/>
      <c r="BP47" s="102"/>
      <c r="BQ47" s="102"/>
      <c r="BR47" s="102"/>
      <c r="BS47" s="102"/>
      <c r="BT47" s="102"/>
      <c r="BU47" s="102"/>
      <c r="BV47" s="102"/>
      <c r="BW47" s="102"/>
      <c r="BX47" s="102"/>
      <c r="BY47" s="102"/>
      <c r="BZ47" s="102"/>
      <c r="CA47" s="102"/>
      <c r="CB47" s="102"/>
      <c r="CC47" s="102"/>
      <c r="CD47" s="104" t="s">
        <v>1295</v>
      </c>
      <c r="CE47" s="104" t="s">
        <v>1296</v>
      </c>
      <c r="CF47" s="102"/>
      <c r="CG47" s="102"/>
      <c r="CH47" s="102"/>
      <c r="CI47" s="102"/>
      <c r="CJ47" s="102"/>
      <c r="CK47" s="102"/>
      <c r="CL47" s="102"/>
      <c r="CM47" s="102"/>
      <c r="CN47" s="102"/>
      <c r="CO47" s="102"/>
      <c r="CP47" s="102"/>
      <c r="CQ47" s="102"/>
      <c r="CR47" s="102"/>
      <c r="CS47" s="102"/>
      <c r="CT47" s="102"/>
      <c r="CU47" s="102"/>
      <c r="CV47" s="102"/>
    </row>
    <row r="48" spans="1:100" ht="18.75" customHeight="1" x14ac:dyDescent="0.2">
      <c r="A48" s="102" t="s">
        <v>348</v>
      </c>
      <c r="B48" s="102" t="s">
        <v>349</v>
      </c>
      <c r="C48" s="102" t="s">
        <v>43</v>
      </c>
      <c r="D48" s="102"/>
      <c r="E48" s="102"/>
      <c r="F48" s="102"/>
      <c r="G48" s="102"/>
      <c r="H48" s="102"/>
      <c r="I48" s="104" t="s">
        <v>1275</v>
      </c>
      <c r="J48" s="104" t="s">
        <v>1276</v>
      </c>
      <c r="K48" s="102" t="s">
        <v>1277</v>
      </c>
      <c r="L48" s="102" t="s">
        <v>1278</v>
      </c>
      <c r="M48" s="102" t="s">
        <v>1279</v>
      </c>
      <c r="N48" s="102" t="s">
        <v>1280</v>
      </c>
      <c r="O48" s="102"/>
      <c r="P48" s="102"/>
      <c r="Q48" s="102"/>
      <c r="R48" s="102" t="s">
        <v>1329</v>
      </c>
      <c r="S48" s="102" t="s">
        <v>1330</v>
      </c>
      <c r="T48" s="102" t="s">
        <v>1307</v>
      </c>
      <c r="U48" s="102"/>
      <c r="V48" s="102"/>
      <c r="W48" s="102"/>
      <c r="X48" s="102" t="s">
        <v>1331</v>
      </c>
      <c r="Y48" s="102" t="s">
        <v>1332</v>
      </c>
      <c r="Z48" s="102"/>
      <c r="AA48" s="102"/>
      <c r="AB48" s="102"/>
      <c r="AC48" s="104" t="s">
        <v>1281</v>
      </c>
      <c r="AD48" s="102"/>
      <c r="AE48" s="104" t="s">
        <v>1282</v>
      </c>
      <c r="AF48" s="104" t="s">
        <v>1333</v>
      </c>
      <c r="AG48" s="102" t="s">
        <v>310</v>
      </c>
      <c r="AH48" s="102" t="s">
        <v>1284</v>
      </c>
      <c r="AI48" s="102" t="s">
        <v>1285</v>
      </c>
      <c r="AJ48" s="104" t="s">
        <v>1286</v>
      </c>
      <c r="AK48" s="102"/>
      <c r="AL48" s="102"/>
      <c r="AM48" s="102"/>
      <c r="AN48" s="102"/>
      <c r="AO48" s="102"/>
      <c r="AP48" s="102"/>
      <c r="AQ48" s="102"/>
      <c r="AR48" s="102"/>
      <c r="AS48" s="102"/>
      <c r="AT48" s="102"/>
      <c r="AU48" s="102"/>
      <c r="AV48" s="102"/>
      <c r="AW48" s="102"/>
      <c r="AX48" s="102"/>
      <c r="AY48" s="102"/>
      <c r="AZ48" s="102"/>
      <c r="BA48" s="102"/>
      <c r="BB48" s="102"/>
      <c r="BC48" s="102"/>
      <c r="BD48" s="104" t="s">
        <v>1289</v>
      </c>
      <c r="BE48" s="104" t="s">
        <v>1290</v>
      </c>
      <c r="BF48" s="104" t="s">
        <v>1291</v>
      </c>
      <c r="BG48" s="104" t="s">
        <v>1292</v>
      </c>
      <c r="BH48" s="102"/>
      <c r="BI48" s="102"/>
      <c r="BJ48" s="102"/>
      <c r="BK48" s="102"/>
      <c r="BL48" s="102"/>
      <c r="BM48" s="102"/>
      <c r="BN48" s="102">
        <v>100</v>
      </c>
      <c r="BO48" s="102"/>
      <c r="BP48" s="102"/>
      <c r="BQ48" s="102"/>
      <c r="BR48" s="102"/>
      <c r="BS48" s="102"/>
      <c r="BT48" s="102"/>
      <c r="BU48" s="102"/>
      <c r="BV48" s="102"/>
      <c r="BW48" s="102"/>
      <c r="BX48" s="102"/>
      <c r="BY48" s="102"/>
      <c r="BZ48" s="102"/>
      <c r="CA48" s="102"/>
      <c r="CB48" s="102"/>
      <c r="CC48" s="102"/>
      <c r="CD48" s="104" t="s">
        <v>1295</v>
      </c>
      <c r="CE48" s="104" t="s">
        <v>1296</v>
      </c>
      <c r="CF48" s="102"/>
      <c r="CG48" s="102"/>
      <c r="CH48" s="102"/>
      <c r="CI48" s="102"/>
      <c r="CJ48" s="102"/>
      <c r="CK48" s="102"/>
      <c r="CL48" s="102"/>
      <c r="CM48" s="102"/>
      <c r="CN48" s="102"/>
      <c r="CO48" s="102"/>
      <c r="CP48" s="102"/>
      <c r="CQ48" s="102"/>
      <c r="CR48" s="102"/>
      <c r="CS48" s="102"/>
      <c r="CT48" s="102"/>
      <c r="CU48" s="102"/>
      <c r="CV48" s="102"/>
    </row>
    <row r="49" spans="1:100" ht="12.75" customHeight="1" x14ac:dyDescent="0.2">
      <c r="A49" s="102" t="s">
        <v>357</v>
      </c>
      <c r="B49" s="106" t="s">
        <v>358</v>
      </c>
      <c r="C49" s="102" t="s">
        <v>43</v>
      </c>
      <c r="D49" s="102"/>
      <c r="E49" s="102"/>
      <c r="F49" s="102"/>
      <c r="G49" s="102"/>
      <c r="H49" s="102"/>
      <c r="I49" s="104" t="s">
        <v>1275</v>
      </c>
      <c r="J49" s="104" t="s">
        <v>1276</v>
      </c>
      <c r="K49" s="102" t="s">
        <v>1277</v>
      </c>
      <c r="L49" s="102" t="s">
        <v>1278</v>
      </c>
      <c r="M49" s="102" t="s">
        <v>1279</v>
      </c>
      <c r="N49" s="102" t="s">
        <v>1280</v>
      </c>
      <c r="O49" s="102"/>
      <c r="P49" s="102"/>
      <c r="Q49" s="102"/>
      <c r="R49" s="102" t="s">
        <v>1334</v>
      </c>
      <c r="S49" s="102" t="s">
        <v>1307</v>
      </c>
      <c r="T49" s="102" t="s">
        <v>1307</v>
      </c>
      <c r="U49" s="102"/>
      <c r="V49" s="102"/>
      <c r="W49" s="102"/>
      <c r="X49" s="102" t="s">
        <v>1335</v>
      </c>
      <c r="Y49" s="102" t="s">
        <v>1336</v>
      </c>
      <c r="Z49" s="102"/>
      <c r="AA49" s="102"/>
      <c r="AB49" s="102"/>
      <c r="AC49" s="104" t="s">
        <v>1281</v>
      </c>
      <c r="AD49" s="102"/>
      <c r="AE49" s="104" t="s">
        <v>1282</v>
      </c>
      <c r="AF49" s="104" t="s">
        <v>1337</v>
      </c>
      <c r="AG49" s="102" t="s">
        <v>310</v>
      </c>
      <c r="AH49" s="102" t="s">
        <v>1284</v>
      </c>
      <c r="AI49" s="102" t="s">
        <v>1285</v>
      </c>
      <c r="AJ49" s="104" t="s">
        <v>1286</v>
      </c>
      <c r="AK49" s="102"/>
      <c r="AL49" s="102"/>
      <c r="AM49" s="102"/>
      <c r="AN49" s="102"/>
      <c r="AO49" s="102"/>
      <c r="AP49" s="102"/>
      <c r="AQ49" s="102"/>
      <c r="AR49" s="102"/>
      <c r="AS49" s="102"/>
      <c r="AT49" s="102"/>
      <c r="AU49" s="102"/>
      <c r="AV49" s="102"/>
      <c r="AW49" s="102"/>
      <c r="AX49" s="102"/>
      <c r="AY49" s="102"/>
      <c r="AZ49" s="102"/>
      <c r="BA49" s="102"/>
      <c r="BB49" s="102"/>
      <c r="BC49" s="102"/>
      <c r="BD49" s="104" t="s">
        <v>1289</v>
      </c>
      <c r="BE49" s="104" t="s">
        <v>1290</v>
      </c>
      <c r="BF49" s="104" t="s">
        <v>1291</v>
      </c>
      <c r="BG49" s="104" t="s">
        <v>1292</v>
      </c>
      <c r="BH49" s="102"/>
      <c r="BI49" s="102"/>
      <c r="BJ49" s="102"/>
      <c r="BK49" s="102"/>
      <c r="BL49" s="102"/>
      <c r="BM49" s="102"/>
      <c r="BN49" s="102">
        <v>100</v>
      </c>
      <c r="BO49" s="102"/>
      <c r="BP49" s="102"/>
      <c r="BQ49" s="102"/>
      <c r="BR49" s="102"/>
      <c r="BS49" s="102"/>
      <c r="BT49" s="102"/>
      <c r="BU49" s="102"/>
      <c r="BV49" s="102"/>
      <c r="BW49" s="102"/>
      <c r="BX49" s="102"/>
      <c r="BY49" s="102"/>
      <c r="BZ49" s="102"/>
      <c r="CA49" s="102"/>
      <c r="CB49" s="102"/>
      <c r="CC49" s="102"/>
      <c r="CD49" s="104" t="s">
        <v>1295</v>
      </c>
      <c r="CE49" s="104" t="s">
        <v>1296</v>
      </c>
      <c r="CF49" s="102"/>
      <c r="CG49" s="102"/>
      <c r="CH49" s="102"/>
      <c r="CI49" s="102"/>
      <c r="CJ49" s="102"/>
      <c r="CK49" s="102"/>
      <c r="CL49" s="102"/>
      <c r="CM49" s="102"/>
      <c r="CN49" s="102"/>
      <c r="CO49" s="102"/>
      <c r="CP49" s="102"/>
      <c r="CQ49" s="102"/>
      <c r="CR49" s="102"/>
      <c r="CS49" s="102"/>
      <c r="CT49" s="102"/>
      <c r="CU49" s="102"/>
      <c r="CV49" s="102"/>
    </row>
    <row r="50" spans="1:100" ht="21.75" customHeight="1" x14ac:dyDescent="0.2">
      <c r="A50" s="102" t="s">
        <v>366</v>
      </c>
      <c r="B50" s="106" t="s">
        <v>1338</v>
      </c>
      <c r="C50" s="102" t="s">
        <v>43</v>
      </c>
      <c r="D50" s="102"/>
      <c r="E50" s="102"/>
      <c r="F50" s="102"/>
      <c r="G50" s="102"/>
      <c r="H50" s="102"/>
      <c r="I50" s="104" t="s">
        <v>1275</v>
      </c>
      <c r="J50" s="104" t="s">
        <v>1276</v>
      </c>
      <c r="K50" s="102" t="s">
        <v>1277</v>
      </c>
      <c r="L50" s="102" t="s">
        <v>1278</v>
      </c>
      <c r="M50" s="102" t="s">
        <v>1279</v>
      </c>
      <c r="N50" s="102" t="s">
        <v>1280</v>
      </c>
      <c r="O50" s="102"/>
      <c r="P50" s="102"/>
      <c r="Q50" s="102"/>
      <c r="R50" s="102" t="s">
        <v>1339</v>
      </c>
      <c r="S50" s="102" t="s">
        <v>1340</v>
      </c>
      <c r="T50" s="102" t="s">
        <v>1341</v>
      </c>
      <c r="U50" s="102"/>
      <c r="V50" s="102"/>
      <c r="W50" s="102" t="s">
        <v>1342</v>
      </c>
      <c r="X50" s="102" t="s">
        <v>1343</v>
      </c>
      <c r="Y50" s="102" t="s">
        <v>1344</v>
      </c>
      <c r="Z50" s="102"/>
      <c r="AA50" s="102"/>
      <c r="AB50" s="102"/>
      <c r="AC50" s="104" t="s">
        <v>1281</v>
      </c>
      <c r="AD50" s="102"/>
      <c r="AE50" s="104" t="s">
        <v>1282</v>
      </c>
      <c r="AF50" s="104" t="s">
        <v>1345</v>
      </c>
      <c r="AG50" s="102" t="s">
        <v>310</v>
      </c>
      <c r="AH50" s="102" t="s">
        <v>1284</v>
      </c>
      <c r="AI50" s="102" t="s">
        <v>1285</v>
      </c>
      <c r="AJ50" s="104" t="s">
        <v>1286</v>
      </c>
      <c r="AK50" s="102"/>
      <c r="AL50" s="102"/>
      <c r="AM50" s="102"/>
      <c r="AN50" s="102"/>
      <c r="AO50" s="102"/>
      <c r="AP50" s="102"/>
      <c r="AQ50" s="102"/>
      <c r="AR50" s="102"/>
      <c r="AS50" s="102"/>
      <c r="AT50" s="102"/>
      <c r="AU50" s="102"/>
      <c r="AV50" s="102" t="s">
        <v>1346</v>
      </c>
      <c r="AW50" s="102"/>
      <c r="AX50" s="102"/>
      <c r="AY50" s="102"/>
      <c r="AZ50" s="102"/>
      <c r="BA50" s="102"/>
      <c r="BB50" s="102"/>
      <c r="BC50" s="102"/>
      <c r="BD50" s="104" t="s">
        <v>1289</v>
      </c>
      <c r="BE50" s="104" t="s">
        <v>1290</v>
      </c>
      <c r="BF50" s="104" t="s">
        <v>1291</v>
      </c>
      <c r="BG50" s="104" t="s">
        <v>1292</v>
      </c>
      <c r="BH50" s="102"/>
      <c r="BI50" s="102"/>
      <c r="BJ50" s="102"/>
      <c r="BK50" s="102"/>
      <c r="BL50" s="102"/>
      <c r="BM50" s="102"/>
      <c r="BN50" s="102">
        <v>100</v>
      </c>
      <c r="BO50" s="102"/>
      <c r="BP50" s="102"/>
      <c r="BQ50" s="102"/>
      <c r="BR50" s="102"/>
      <c r="BS50" s="102"/>
      <c r="BT50" s="102"/>
      <c r="BU50" s="102"/>
      <c r="BV50" s="102"/>
      <c r="BW50" s="102"/>
      <c r="BX50" s="102"/>
      <c r="BY50" s="102"/>
      <c r="BZ50" s="102"/>
      <c r="CA50" s="102"/>
      <c r="CB50" s="102"/>
      <c r="CC50" s="102"/>
      <c r="CD50" s="104" t="s">
        <v>1295</v>
      </c>
      <c r="CE50" s="104" t="s">
        <v>1296</v>
      </c>
      <c r="CF50" s="102"/>
      <c r="CG50" s="102"/>
      <c r="CH50" s="102"/>
      <c r="CI50" s="102"/>
      <c r="CJ50" s="102"/>
      <c r="CK50" s="102"/>
      <c r="CL50" s="102"/>
      <c r="CM50" s="102"/>
      <c r="CN50" s="102"/>
      <c r="CO50" s="102"/>
      <c r="CP50" s="102"/>
      <c r="CQ50" s="102"/>
      <c r="CR50" s="102"/>
      <c r="CS50" s="102"/>
      <c r="CT50" s="102"/>
      <c r="CU50" s="102"/>
      <c r="CV50" s="102"/>
    </row>
    <row r="51" spans="1:100" ht="20.25" customHeight="1" x14ac:dyDescent="0.2">
      <c r="A51" s="102" t="s">
        <v>373</v>
      </c>
      <c r="B51" s="106" t="s">
        <v>374</v>
      </c>
      <c r="C51" s="102" t="s">
        <v>43</v>
      </c>
      <c r="D51" s="102"/>
      <c r="E51" s="102"/>
      <c r="F51" s="102"/>
      <c r="G51" s="102"/>
      <c r="H51" s="102"/>
      <c r="I51" s="104" t="s">
        <v>1275</v>
      </c>
      <c r="J51" s="104" t="s">
        <v>1276</v>
      </c>
      <c r="K51" s="102" t="s">
        <v>1277</v>
      </c>
      <c r="L51" s="102" t="s">
        <v>1278</v>
      </c>
      <c r="M51" s="102" t="s">
        <v>1279</v>
      </c>
      <c r="N51" s="102" t="s">
        <v>1280</v>
      </c>
      <c r="O51" s="102"/>
      <c r="P51" s="102"/>
      <c r="Q51" s="102"/>
      <c r="R51" s="102" t="s">
        <v>1347</v>
      </c>
      <c r="S51" s="102" t="s">
        <v>1327</v>
      </c>
      <c r="T51" s="102" t="s">
        <v>1327</v>
      </c>
      <c r="U51" s="102"/>
      <c r="V51" s="102"/>
      <c r="W51" s="102" t="s">
        <v>1348</v>
      </c>
      <c r="X51" s="102" t="s">
        <v>1349</v>
      </c>
      <c r="Y51" s="102" t="s">
        <v>1350</v>
      </c>
      <c r="Z51" s="102"/>
      <c r="AA51" s="102"/>
      <c r="AB51" s="102"/>
      <c r="AC51" s="104" t="s">
        <v>1281</v>
      </c>
      <c r="AD51" s="102"/>
      <c r="AE51" s="104" t="s">
        <v>1282</v>
      </c>
      <c r="AF51" s="104" t="s">
        <v>1351</v>
      </c>
      <c r="AG51" s="102" t="s">
        <v>310</v>
      </c>
      <c r="AH51" s="102" t="s">
        <v>1284</v>
      </c>
      <c r="AI51" s="102" t="s">
        <v>1285</v>
      </c>
      <c r="AJ51" s="104" t="s">
        <v>1286</v>
      </c>
      <c r="AK51" s="102"/>
      <c r="AL51" s="102"/>
      <c r="AM51" s="102"/>
      <c r="AN51" s="102"/>
      <c r="AO51" s="102"/>
      <c r="AP51" s="102"/>
      <c r="AQ51" s="102"/>
      <c r="AR51" s="102"/>
      <c r="AS51" s="102"/>
      <c r="AT51" s="102"/>
      <c r="AU51" s="102"/>
      <c r="AV51" s="102" t="s">
        <v>1352</v>
      </c>
      <c r="AW51" s="102"/>
      <c r="AX51" s="102" t="s">
        <v>1353</v>
      </c>
      <c r="AY51" s="102"/>
      <c r="AZ51" s="102"/>
      <c r="BA51" s="102"/>
      <c r="BB51" s="102"/>
      <c r="BC51" s="102"/>
      <c r="BD51" s="104" t="s">
        <v>1289</v>
      </c>
      <c r="BE51" s="104" t="s">
        <v>1290</v>
      </c>
      <c r="BF51" s="104" t="s">
        <v>1291</v>
      </c>
      <c r="BG51" s="104" t="s">
        <v>1292</v>
      </c>
      <c r="BH51" s="102"/>
      <c r="BI51" s="102"/>
      <c r="BJ51" s="102"/>
      <c r="BK51" s="102"/>
      <c r="BL51" s="102"/>
      <c r="BM51" s="102"/>
      <c r="BN51" s="102">
        <v>100</v>
      </c>
      <c r="BO51" s="102"/>
      <c r="BP51" s="102"/>
      <c r="BQ51" s="102"/>
      <c r="BR51" s="102"/>
      <c r="BS51" s="102"/>
      <c r="BT51" s="102"/>
      <c r="BU51" s="102"/>
      <c r="BV51" s="102"/>
      <c r="BW51" s="102"/>
      <c r="BX51" s="102"/>
      <c r="BY51" s="102"/>
      <c r="BZ51" s="102"/>
      <c r="CA51" s="102"/>
      <c r="CB51" s="102"/>
      <c r="CC51" s="102"/>
      <c r="CD51" s="104" t="s">
        <v>1295</v>
      </c>
      <c r="CE51" s="104" t="s">
        <v>1296</v>
      </c>
      <c r="CF51" s="102"/>
      <c r="CG51" s="102"/>
      <c r="CH51" s="102"/>
      <c r="CI51" s="102"/>
      <c r="CJ51" s="102"/>
      <c r="CK51" s="102"/>
      <c r="CL51" s="102"/>
      <c r="CM51" s="102"/>
      <c r="CN51" s="102"/>
      <c r="CO51" s="102"/>
      <c r="CP51" s="102"/>
      <c r="CQ51" s="102"/>
      <c r="CR51" s="102"/>
      <c r="CS51" s="102"/>
      <c r="CT51" s="102"/>
      <c r="CU51" s="102"/>
      <c r="CV51" s="102"/>
    </row>
    <row r="52" spans="1:100" ht="17.25" customHeight="1" x14ac:dyDescent="0.2">
      <c r="A52" s="102" t="s">
        <v>380</v>
      </c>
      <c r="B52" s="106" t="s">
        <v>381</v>
      </c>
      <c r="C52" s="102" t="s">
        <v>43</v>
      </c>
      <c r="D52" s="102"/>
      <c r="E52" s="102"/>
      <c r="F52" s="102"/>
      <c r="G52" s="102"/>
      <c r="H52" s="102"/>
      <c r="I52" s="104" t="s">
        <v>1275</v>
      </c>
      <c r="J52" s="104" t="s">
        <v>1276</v>
      </c>
      <c r="K52" s="102" t="s">
        <v>1277</v>
      </c>
      <c r="L52" s="102" t="s">
        <v>1278</v>
      </c>
      <c r="M52" s="102" t="s">
        <v>1279</v>
      </c>
      <c r="N52" s="102" t="s">
        <v>1280</v>
      </c>
      <c r="O52" s="102"/>
      <c r="P52" s="102"/>
      <c r="Q52" s="102"/>
      <c r="R52" s="102" t="s">
        <v>1354</v>
      </c>
      <c r="S52" s="102" t="s">
        <v>1355</v>
      </c>
      <c r="T52" s="102" t="s">
        <v>1307</v>
      </c>
      <c r="U52" s="102"/>
      <c r="V52" s="102"/>
      <c r="W52" s="102"/>
      <c r="X52" s="102" t="s">
        <v>1356</v>
      </c>
      <c r="Y52" s="102" t="s">
        <v>1357</v>
      </c>
      <c r="Z52" s="102"/>
      <c r="AA52" s="102"/>
      <c r="AB52" s="102"/>
      <c r="AC52" s="104" t="s">
        <v>1281</v>
      </c>
      <c r="AD52" s="102"/>
      <c r="AE52" s="104" t="s">
        <v>1282</v>
      </c>
      <c r="AF52" s="104" t="s">
        <v>1358</v>
      </c>
      <c r="AG52" s="102" t="s">
        <v>310</v>
      </c>
      <c r="AH52" s="102" t="s">
        <v>1284</v>
      </c>
      <c r="AI52" s="102" t="s">
        <v>1285</v>
      </c>
      <c r="AJ52" s="104" t="s">
        <v>1286</v>
      </c>
      <c r="AK52" s="102"/>
      <c r="AL52" s="102"/>
      <c r="AM52" s="102"/>
      <c r="AN52" s="102"/>
      <c r="AO52" s="102"/>
      <c r="AP52" s="102"/>
      <c r="AQ52" s="102"/>
      <c r="AR52" s="102"/>
      <c r="AS52" s="102"/>
      <c r="AT52" s="102"/>
      <c r="AU52" s="102"/>
      <c r="AV52" s="102" t="s">
        <v>1359</v>
      </c>
      <c r="AW52" s="102"/>
      <c r="AX52" s="102"/>
      <c r="AY52" s="102"/>
      <c r="AZ52" s="102"/>
      <c r="BA52" s="102"/>
      <c r="BB52" s="102"/>
      <c r="BC52" s="102"/>
      <c r="BD52" s="104" t="s">
        <v>1289</v>
      </c>
      <c r="BE52" s="104" t="s">
        <v>1290</v>
      </c>
      <c r="BF52" s="104" t="s">
        <v>1291</v>
      </c>
      <c r="BG52" s="104" t="s">
        <v>1292</v>
      </c>
      <c r="BH52" s="102"/>
      <c r="BI52" s="102"/>
      <c r="BJ52" s="102"/>
      <c r="BK52" s="102"/>
      <c r="BL52" s="102"/>
      <c r="BM52" s="102"/>
      <c r="BN52" s="102">
        <v>100</v>
      </c>
      <c r="BO52" s="102"/>
      <c r="BP52" s="102"/>
      <c r="BQ52" s="102"/>
      <c r="BR52" s="102"/>
      <c r="BS52" s="102"/>
      <c r="BT52" s="102"/>
      <c r="BU52" s="102"/>
      <c r="BV52" s="102"/>
      <c r="BW52" s="102"/>
      <c r="BX52" s="102"/>
      <c r="BY52" s="102"/>
      <c r="BZ52" s="102"/>
      <c r="CA52" s="102"/>
      <c r="CB52" s="102"/>
      <c r="CC52" s="102"/>
      <c r="CD52" s="104" t="s">
        <v>1295</v>
      </c>
      <c r="CE52" s="104" t="s">
        <v>1296</v>
      </c>
      <c r="CF52" s="102"/>
      <c r="CG52" s="102"/>
      <c r="CH52" s="102"/>
      <c r="CI52" s="102"/>
      <c r="CJ52" s="102"/>
      <c r="CK52" s="102"/>
      <c r="CL52" s="102"/>
      <c r="CM52" s="102"/>
      <c r="CN52" s="102"/>
      <c r="CO52" s="102"/>
      <c r="CP52" s="102"/>
      <c r="CQ52" s="102"/>
      <c r="CR52" s="102"/>
      <c r="CS52" s="102"/>
      <c r="CT52" s="102"/>
      <c r="CU52" s="102"/>
      <c r="CV52" s="102"/>
    </row>
    <row r="53" spans="1:100" ht="14.25" customHeight="1" x14ac:dyDescent="0.2">
      <c r="A53" s="102" t="s">
        <v>388</v>
      </c>
      <c r="B53" s="106" t="s">
        <v>389</v>
      </c>
      <c r="C53" s="102" t="s">
        <v>43</v>
      </c>
      <c r="D53" s="102"/>
      <c r="E53" s="102"/>
      <c r="F53" s="102"/>
      <c r="G53" s="102"/>
      <c r="H53" s="102"/>
      <c r="I53" s="104" t="s">
        <v>1275</v>
      </c>
      <c r="J53" s="104" t="s">
        <v>1276</v>
      </c>
      <c r="K53" s="102" t="s">
        <v>1277</v>
      </c>
      <c r="L53" s="102" t="s">
        <v>1278</v>
      </c>
      <c r="M53" s="102" t="s">
        <v>1279</v>
      </c>
      <c r="N53" s="102" t="s">
        <v>1280</v>
      </c>
      <c r="O53" s="102"/>
      <c r="P53" s="102"/>
      <c r="Q53" s="102"/>
      <c r="R53" s="102" t="s">
        <v>1360</v>
      </c>
      <c r="S53" s="102" t="s">
        <v>1307</v>
      </c>
      <c r="T53" s="102" t="s">
        <v>1330</v>
      </c>
      <c r="U53" s="102"/>
      <c r="V53" s="102"/>
      <c r="W53" s="102" t="s">
        <v>1361</v>
      </c>
      <c r="X53" s="102" t="s">
        <v>1362</v>
      </c>
      <c r="Y53" s="102" t="s">
        <v>1357</v>
      </c>
      <c r="Z53" s="102"/>
      <c r="AA53" s="102"/>
      <c r="AB53" s="102"/>
      <c r="AC53" s="104" t="s">
        <v>1281</v>
      </c>
      <c r="AD53" s="102"/>
      <c r="AE53" s="104" t="s">
        <v>1282</v>
      </c>
      <c r="AF53" s="104" t="s">
        <v>1363</v>
      </c>
      <c r="AG53" s="102" t="s">
        <v>310</v>
      </c>
      <c r="AH53" s="102" t="s">
        <v>1284</v>
      </c>
      <c r="AI53" s="102" t="s">
        <v>1285</v>
      </c>
      <c r="AJ53" s="104" t="s">
        <v>1286</v>
      </c>
      <c r="AK53" s="102"/>
      <c r="AL53" s="102"/>
      <c r="AM53" s="102"/>
      <c r="AN53" s="102"/>
      <c r="AO53" s="102"/>
      <c r="AP53" s="102"/>
      <c r="AQ53" s="102"/>
      <c r="AR53" s="102"/>
      <c r="AS53" s="102"/>
      <c r="AT53" s="102"/>
      <c r="AU53" s="102"/>
      <c r="AV53" s="102"/>
      <c r="AW53" s="102"/>
      <c r="AX53" s="102"/>
      <c r="AY53" s="102"/>
      <c r="AZ53" s="102"/>
      <c r="BA53" s="102"/>
      <c r="BB53" s="102"/>
      <c r="BC53" s="102"/>
      <c r="BD53" s="104" t="s">
        <v>1289</v>
      </c>
      <c r="BE53" s="104" t="s">
        <v>1290</v>
      </c>
      <c r="BF53" s="104" t="s">
        <v>1291</v>
      </c>
      <c r="BG53" s="104" t="s">
        <v>1292</v>
      </c>
      <c r="BH53" s="102"/>
      <c r="BI53" s="102"/>
      <c r="BJ53" s="102"/>
      <c r="BK53" s="102"/>
      <c r="BL53" s="102"/>
      <c r="BM53" s="102"/>
      <c r="BN53" s="102">
        <v>100</v>
      </c>
      <c r="BO53" s="102"/>
      <c r="BP53" s="102"/>
      <c r="BQ53" s="102"/>
      <c r="BR53" s="102"/>
      <c r="BS53" s="102"/>
      <c r="BT53" s="102"/>
      <c r="BU53" s="102"/>
      <c r="BV53" s="102"/>
      <c r="BW53" s="102"/>
      <c r="BX53" s="102"/>
      <c r="BY53" s="102"/>
      <c r="BZ53" s="102"/>
      <c r="CA53" s="102"/>
      <c r="CB53" s="102"/>
      <c r="CC53" s="102"/>
      <c r="CD53" s="104" t="s">
        <v>1295</v>
      </c>
      <c r="CE53" s="104" t="s">
        <v>1296</v>
      </c>
      <c r="CF53" s="102"/>
      <c r="CG53" s="102"/>
      <c r="CH53" s="102"/>
      <c r="CI53" s="102"/>
      <c r="CJ53" s="102"/>
      <c r="CK53" s="102"/>
      <c r="CL53" s="102"/>
      <c r="CM53" s="102"/>
      <c r="CN53" s="102"/>
      <c r="CO53" s="102"/>
      <c r="CP53" s="102"/>
      <c r="CQ53" s="102"/>
      <c r="CR53" s="102"/>
      <c r="CS53" s="102"/>
      <c r="CT53" s="102"/>
      <c r="CU53" s="102"/>
      <c r="CV53" s="102"/>
    </row>
    <row r="54" spans="1:100" ht="16.5" customHeight="1" x14ac:dyDescent="0.2">
      <c r="A54" s="102" t="s">
        <v>394</v>
      </c>
      <c r="B54" s="106" t="s">
        <v>395</v>
      </c>
      <c r="C54" s="102" t="s">
        <v>1268</v>
      </c>
      <c r="D54" s="102"/>
      <c r="E54" s="102"/>
      <c r="F54" s="102"/>
      <c r="G54" s="102"/>
      <c r="H54" s="102"/>
      <c r="I54" s="104" t="s">
        <v>1275</v>
      </c>
      <c r="J54" s="104" t="s">
        <v>1276</v>
      </c>
      <c r="K54" s="102" t="s">
        <v>1277</v>
      </c>
      <c r="L54" s="102" t="s">
        <v>1278</v>
      </c>
      <c r="M54" s="102" t="s">
        <v>1279</v>
      </c>
      <c r="N54" s="102" t="s">
        <v>1280</v>
      </c>
      <c r="O54" s="102"/>
      <c r="P54" s="102"/>
      <c r="Q54" s="102"/>
      <c r="R54" s="102" t="s">
        <v>1364</v>
      </c>
      <c r="S54" s="102" t="s">
        <v>1365</v>
      </c>
      <c r="T54" s="102" t="s">
        <v>1366</v>
      </c>
      <c r="U54" s="102" t="s">
        <v>1306</v>
      </c>
      <c r="V54" s="102" t="s">
        <v>1367</v>
      </c>
      <c r="W54" s="102" t="s">
        <v>1368</v>
      </c>
      <c r="X54" s="102" t="s">
        <v>1369</v>
      </c>
      <c r="Y54" s="102" t="s">
        <v>1370</v>
      </c>
      <c r="Z54" s="102"/>
      <c r="AA54" s="102"/>
      <c r="AB54" s="102"/>
      <c r="AC54" s="104" t="s">
        <v>1281</v>
      </c>
      <c r="AD54" s="102"/>
      <c r="AE54" s="104"/>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4"/>
      <c r="BE54" s="102"/>
      <c r="BF54" s="102"/>
      <c r="BG54" s="102"/>
      <c r="BH54" s="102"/>
      <c r="BI54" s="102"/>
      <c r="BJ54" s="102"/>
      <c r="BK54" s="102"/>
      <c r="BL54" s="102"/>
      <c r="BM54" s="102"/>
      <c r="BN54" s="102">
        <v>100</v>
      </c>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row>
    <row r="55" spans="1:100" ht="12.75" x14ac:dyDescent="0.2">
      <c r="C55" s="27"/>
    </row>
    <row r="56" spans="1:100" ht="12.75" x14ac:dyDescent="0.2">
      <c r="C56" s="27"/>
    </row>
    <row r="57" spans="1:100" ht="12.75" x14ac:dyDescent="0.2">
      <c r="A57" s="118" t="s">
        <v>1371</v>
      </c>
      <c r="C57" s="27"/>
    </row>
    <row r="58" spans="1:100" ht="12.75" x14ac:dyDescent="0.2">
      <c r="A58" s="117"/>
      <c r="C58" s="27"/>
    </row>
    <row r="59" spans="1:100" ht="15" customHeight="1" x14ac:dyDescent="0.2">
      <c r="A59" s="27" t="s">
        <v>404</v>
      </c>
      <c r="B59" s="27" t="s">
        <v>405</v>
      </c>
      <c r="C59" s="27" t="s">
        <v>43</v>
      </c>
      <c r="I59" s="36" t="s">
        <v>1372</v>
      </c>
      <c r="J59" s="27" t="s">
        <v>1373</v>
      </c>
      <c r="K59" s="36" t="s">
        <v>1374</v>
      </c>
      <c r="L59" s="36" t="s">
        <v>1375</v>
      </c>
      <c r="AC59" s="36"/>
      <c r="AE59" s="104" t="s">
        <v>1282</v>
      </c>
      <c r="AF59" s="36" t="s">
        <v>1376</v>
      </c>
      <c r="AG59" s="36" t="s">
        <v>1377</v>
      </c>
      <c r="AH59" s="27" t="s">
        <v>1378</v>
      </c>
      <c r="AM59" s="27">
        <v>150</v>
      </c>
      <c r="BD59" s="104" t="s">
        <v>1289</v>
      </c>
      <c r="BE59" s="27" t="s">
        <v>1379</v>
      </c>
    </row>
    <row r="60" spans="1:100" ht="13.5" customHeight="1" x14ac:dyDescent="0.2">
      <c r="A60" s="27" t="s">
        <v>413</v>
      </c>
      <c r="B60" s="27" t="s">
        <v>414</v>
      </c>
      <c r="C60" s="27" t="s">
        <v>1268</v>
      </c>
      <c r="I60" s="36" t="s">
        <v>1372</v>
      </c>
      <c r="J60" s="27" t="s">
        <v>1373</v>
      </c>
      <c r="K60" s="36" t="s">
        <v>1374</v>
      </c>
      <c r="L60" s="36" t="s">
        <v>1375</v>
      </c>
      <c r="AE60" s="104" t="s">
        <v>1282</v>
      </c>
      <c r="AF60" s="36" t="s">
        <v>1380</v>
      </c>
      <c r="AG60" s="36" t="s">
        <v>1377</v>
      </c>
      <c r="AH60" s="27" t="s">
        <v>1381</v>
      </c>
      <c r="AM60" s="27">
        <v>150</v>
      </c>
      <c r="BD60" s="104" t="s">
        <v>1289</v>
      </c>
      <c r="BE60" s="27" t="s">
        <v>1379</v>
      </c>
    </row>
    <row r="61" spans="1:100" ht="18.75" customHeight="1" x14ac:dyDescent="0.2">
      <c r="A61" s="27" t="s">
        <v>425</v>
      </c>
      <c r="B61" s="27" t="s">
        <v>426</v>
      </c>
      <c r="C61" s="27" t="s">
        <v>43</v>
      </c>
      <c r="I61" s="36" t="s">
        <v>1372</v>
      </c>
      <c r="J61" s="27" t="s">
        <v>1373</v>
      </c>
      <c r="K61" s="36" t="s">
        <v>1374</v>
      </c>
      <c r="L61" s="36" t="s">
        <v>1375</v>
      </c>
      <c r="AE61" s="104" t="s">
        <v>1282</v>
      </c>
      <c r="AF61" s="36" t="s">
        <v>1380</v>
      </c>
      <c r="AG61" s="36" t="s">
        <v>1377</v>
      </c>
      <c r="AH61" s="27" t="s">
        <v>1381</v>
      </c>
      <c r="AM61" s="27">
        <v>150</v>
      </c>
      <c r="BD61" s="104" t="s">
        <v>1289</v>
      </c>
      <c r="BE61" s="27" t="s">
        <v>1379</v>
      </c>
    </row>
    <row r="62" spans="1:100" ht="16.5" customHeight="1" x14ac:dyDescent="0.2">
      <c r="A62" s="27" t="s">
        <v>435</v>
      </c>
      <c r="B62" s="27" t="s">
        <v>436</v>
      </c>
      <c r="C62" s="27" t="s">
        <v>43</v>
      </c>
      <c r="I62" s="36" t="s">
        <v>1372</v>
      </c>
      <c r="J62" s="27" t="s">
        <v>1373</v>
      </c>
      <c r="K62" s="36" t="s">
        <v>1374</v>
      </c>
      <c r="L62" s="36" t="s">
        <v>1375</v>
      </c>
      <c r="AE62" s="104" t="s">
        <v>1282</v>
      </c>
      <c r="AF62" s="36" t="s">
        <v>1380</v>
      </c>
      <c r="AG62" s="36" t="s">
        <v>1377</v>
      </c>
      <c r="AH62" s="27" t="s">
        <v>1381</v>
      </c>
      <c r="AM62" s="27">
        <v>150</v>
      </c>
      <c r="BD62" s="104" t="s">
        <v>1289</v>
      </c>
      <c r="BE62" s="27" t="s">
        <v>1379</v>
      </c>
    </row>
    <row r="63" spans="1:100" ht="17.25" customHeight="1" x14ac:dyDescent="0.2">
      <c r="A63" s="27" t="s">
        <v>442</v>
      </c>
      <c r="B63" s="27" t="s">
        <v>443</v>
      </c>
      <c r="C63" s="27" t="s">
        <v>43</v>
      </c>
      <c r="I63" s="36" t="s">
        <v>1372</v>
      </c>
      <c r="J63" s="27" t="s">
        <v>1373</v>
      </c>
      <c r="K63" s="36" t="s">
        <v>1374</v>
      </c>
      <c r="L63" s="36" t="s">
        <v>1375</v>
      </c>
      <c r="AE63" s="104" t="s">
        <v>1282</v>
      </c>
      <c r="AF63" s="36" t="s">
        <v>1380</v>
      </c>
      <c r="AG63" s="36" t="s">
        <v>1377</v>
      </c>
      <c r="AH63" s="27" t="s">
        <v>1381</v>
      </c>
      <c r="AM63" s="27">
        <v>150</v>
      </c>
      <c r="BD63" s="104" t="s">
        <v>1289</v>
      </c>
      <c r="BE63" s="27" t="s">
        <v>1379</v>
      </c>
    </row>
    <row r="64" spans="1:100" ht="18" customHeight="1" x14ac:dyDescent="0.2">
      <c r="A64" s="27" t="s">
        <v>449</v>
      </c>
      <c r="B64" s="27" t="s">
        <v>450</v>
      </c>
      <c r="C64" s="27" t="s">
        <v>43</v>
      </c>
      <c r="I64" s="36" t="s">
        <v>1372</v>
      </c>
      <c r="J64" s="27" t="s">
        <v>1373</v>
      </c>
      <c r="K64" s="36" t="s">
        <v>1374</v>
      </c>
      <c r="L64" s="36" t="s">
        <v>1375</v>
      </c>
      <c r="AE64" s="104" t="s">
        <v>1282</v>
      </c>
      <c r="AF64" s="36" t="s">
        <v>1380</v>
      </c>
      <c r="AG64" s="36" t="s">
        <v>1377</v>
      </c>
      <c r="AH64" s="27" t="s">
        <v>1381</v>
      </c>
      <c r="AM64" s="27">
        <v>150</v>
      </c>
      <c r="BD64" s="104" t="s">
        <v>1289</v>
      </c>
      <c r="BE64" s="27" t="s">
        <v>1379</v>
      </c>
    </row>
    <row r="65" spans="1:57" ht="15.75" customHeight="1" x14ac:dyDescent="0.2">
      <c r="A65" s="27" t="s">
        <v>459</v>
      </c>
      <c r="B65" s="27" t="s">
        <v>460</v>
      </c>
      <c r="C65" s="27" t="s">
        <v>43</v>
      </c>
      <c r="I65" s="36" t="s">
        <v>1372</v>
      </c>
      <c r="J65" s="27" t="s">
        <v>1373</v>
      </c>
      <c r="K65" s="36" t="s">
        <v>1374</v>
      </c>
      <c r="L65" s="36" t="s">
        <v>1375</v>
      </c>
      <c r="AE65" s="104" t="s">
        <v>1282</v>
      </c>
      <c r="AF65" s="36" t="s">
        <v>1380</v>
      </c>
      <c r="AG65" s="36" t="s">
        <v>1377</v>
      </c>
      <c r="AH65" s="27" t="s">
        <v>1381</v>
      </c>
      <c r="AM65" s="27">
        <v>150</v>
      </c>
      <c r="AR65" s="27" t="s">
        <v>1164</v>
      </c>
      <c r="BD65" s="104" t="s">
        <v>1289</v>
      </c>
      <c r="BE65" s="27" t="s">
        <v>1379</v>
      </c>
    </row>
    <row r="66" spans="1:57" ht="11.25" customHeight="1" x14ac:dyDescent="0.2">
      <c r="A66" s="27" t="s">
        <v>469</v>
      </c>
      <c r="B66" s="27" t="s">
        <v>470</v>
      </c>
      <c r="C66" s="27" t="s">
        <v>43</v>
      </c>
      <c r="I66" s="36" t="s">
        <v>1372</v>
      </c>
      <c r="J66" s="27" t="s">
        <v>1373</v>
      </c>
      <c r="K66" s="36" t="s">
        <v>1374</v>
      </c>
      <c r="L66" s="36" t="s">
        <v>1375</v>
      </c>
      <c r="AE66" s="104" t="s">
        <v>1282</v>
      </c>
      <c r="AF66" s="36" t="s">
        <v>1380</v>
      </c>
      <c r="AG66" s="36" t="s">
        <v>1377</v>
      </c>
      <c r="AH66" s="27" t="s">
        <v>1381</v>
      </c>
      <c r="AM66" s="27">
        <v>150</v>
      </c>
      <c r="BD66" s="104" t="s">
        <v>1289</v>
      </c>
      <c r="BE66" s="27" t="s">
        <v>1379</v>
      </c>
    </row>
    <row r="67" spans="1:57" ht="16.5" customHeight="1" x14ac:dyDescent="0.2">
      <c r="A67" s="27" t="s">
        <v>478</v>
      </c>
      <c r="B67" s="27" t="s">
        <v>479</v>
      </c>
      <c r="C67" s="27" t="s">
        <v>43</v>
      </c>
      <c r="I67" s="36" t="s">
        <v>1372</v>
      </c>
      <c r="J67" s="27" t="s">
        <v>1373</v>
      </c>
      <c r="K67" s="36" t="s">
        <v>1374</v>
      </c>
      <c r="L67" s="36" t="s">
        <v>1375</v>
      </c>
      <c r="AE67" s="104" t="s">
        <v>1282</v>
      </c>
      <c r="AF67" s="36" t="s">
        <v>1380</v>
      </c>
      <c r="AG67" s="36" t="s">
        <v>1377</v>
      </c>
      <c r="AH67" s="27" t="s">
        <v>1381</v>
      </c>
      <c r="AM67" s="27">
        <v>150</v>
      </c>
      <c r="BD67" s="104" t="s">
        <v>1289</v>
      </c>
      <c r="BE67" s="27" t="s">
        <v>1379</v>
      </c>
    </row>
    <row r="68" spans="1:57" ht="16.5" customHeight="1" x14ac:dyDescent="0.2">
      <c r="A68" s="27" t="s">
        <v>484</v>
      </c>
      <c r="B68" s="27" t="s">
        <v>485</v>
      </c>
      <c r="C68" s="27" t="s">
        <v>43</v>
      </c>
      <c r="I68" s="36" t="s">
        <v>1372</v>
      </c>
      <c r="J68" s="27" t="s">
        <v>1373</v>
      </c>
      <c r="K68" s="36" t="s">
        <v>1374</v>
      </c>
      <c r="L68" s="36" t="s">
        <v>1375</v>
      </c>
      <c r="AE68" s="104" t="s">
        <v>1282</v>
      </c>
      <c r="AF68" s="36" t="s">
        <v>1380</v>
      </c>
      <c r="AG68" s="36" t="s">
        <v>1377</v>
      </c>
      <c r="AH68" s="27" t="s">
        <v>1381</v>
      </c>
      <c r="AM68" s="27">
        <v>150</v>
      </c>
      <c r="BD68" s="104" t="s">
        <v>1289</v>
      </c>
      <c r="BE68" s="27" t="s">
        <v>1379</v>
      </c>
    </row>
    <row r="69" spans="1:57" ht="15" customHeight="1" x14ac:dyDescent="0.2">
      <c r="A69" s="27" t="s">
        <v>489</v>
      </c>
      <c r="B69" s="27" t="s">
        <v>490</v>
      </c>
      <c r="C69" s="27" t="s">
        <v>43</v>
      </c>
      <c r="I69" s="36" t="s">
        <v>1372</v>
      </c>
      <c r="J69" s="27" t="s">
        <v>1373</v>
      </c>
      <c r="K69" s="36" t="s">
        <v>1374</v>
      </c>
      <c r="L69" s="36" t="s">
        <v>1375</v>
      </c>
      <c r="AE69" s="104" t="s">
        <v>1282</v>
      </c>
      <c r="AF69" s="36" t="s">
        <v>1380</v>
      </c>
      <c r="AG69" s="36" t="s">
        <v>1377</v>
      </c>
      <c r="AH69" s="27" t="s">
        <v>1381</v>
      </c>
      <c r="AM69" s="27">
        <v>150</v>
      </c>
      <c r="BD69" s="104" t="s">
        <v>1289</v>
      </c>
      <c r="BE69" s="27" t="s">
        <v>1379</v>
      </c>
    </row>
    <row r="70" spans="1:57" ht="14.25" customHeight="1" x14ac:dyDescent="0.2">
      <c r="A70" s="27" t="s">
        <v>494</v>
      </c>
      <c r="B70" s="27" t="s">
        <v>495</v>
      </c>
      <c r="C70" s="27" t="s">
        <v>43</v>
      </c>
      <c r="I70" s="36" t="s">
        <v>1372</v>
      </c>
      <c r="J70" s="27" t="s">
        <v>1373</v>
      </c>
      <c r="K70" s="36" t="s">
        <v>1374</v>
      </c>
      <c r="L70" s="36" t="s">
        <v>1375</v>
      </c>
      <c r="AE70" s="104" t="s">
        <v>1282</v>
      </c>
      <c r="AF70" s="36" t="s">
        <v>1380</v>
      </c>
      <c r="AG70" s="36" t="s">
        <v>1377</v>
      </c>
      <c r="AH70" s="27" t="s">
        <v>1381</v>
      </c>
      <c r="AM70" s="27">
        <v>150</v>
      </c>
      <c r="BD70" s="104" t="s">
        <v>1289</v>
      </c>
      <c r="BE70" s="27" t="s">
        <v>1379</v>
      </c>
    </row>
    <row r="71" spans="1:57" ht="14.25" customHeight="1" x14ac:dyDescent="0.2">
      <c r="A71" s="27" t="s">
        <v>498</v>
      </c>
      <c r="B71" s="27" t="s">
        <v>499</v>
      </c>
      <c r="C71" s="27" t="s">
        <v>43</v>
      </c>
      <c r="I71" s="36" t="s">
        <v>1372</v>
      </c>
      <c r="J71" s="27" t="s">
        <v>1373</v>
      </c>
      <c r="K71" s="36" t="s">
        <v>1374</v>
      </c>
      <c r="L71" s="36" t="s">
        <v>1375</v>
      </c>
      <c r="AE71" s="104" t="s">
        <v>1282</v>
      </c>
      <c r="AF71" s="36" t="s">
        <v>1380</v>
      </c>
      <c r="AG71" s="36" t="s">
        <v>1377</v>
      </c>
      <c r="AH71" s="27" t="s">
        <v>1381</v>
      </c>
      <c r="AM71" s="27">
        <v>150</v>
      </c>
      <c r="BD71" s="104" t="s">
        <v>1289</v>
      </c>
      <c r="BE71" s="27" t="s">
        <v>1379</v>
      </c>
    </row>
    <row r="72" spans="1:57" ht="15" customHeight="1" x14ac:dyDescent="0.2">
      <c r="A72" s="27" t="s">
        <v>503</v>
      </c>
      <c r="B72" s="27" t="s">
        <v>504</v>
      </c>
      <c r="C72" s="27" t="s">
        <v>43</v>
      </c>
      <c r="I72" s="36" t="s">
        <v>1372</v>
      </c>
      <c r="J72" s="27" t="s">
        <v>1373</v>
      </c>
      <c r="K72" s="36" t="s">
        <v>1374</v>
      </c>
      <c r="L72" s="36" t="s">
        <v>1375</v>
      </c>
      <c r="AE72" s="104" t="s">
        <v>1282</v>
      </c>
      <c r="AF72" s="36" t="s">
        <v>1380</v>
      </c>
      <c r="AG72" s="36" t="s">
        <v>1377</v>
      </c>
      <c r="AH72" s="27" t="s">
        <v>1381</v>
      </c>
      <c r="AM72" s="27">
        <v>150</v>
      </c>
      <c r="BD72" s="104" t="s">
        <v>1289</v>
      </c>
      <c r="BE72" s="27" t="s">
        <v>1379</v>
      </c>
    </row>
    <row r="73" spans="1:57" ht="17.25" customHeight="1" x14ac:dyDescent="0.2">
      <c r="A73" s="27" t="s">
        <v>508</v>
      </c>
      <c r="B73" s="27" t="s">
        <v>509</v>
      </c>
      <c r="C73" s="27" t="s">
        <v>43</v>
      </c>
      <c r="I73" s="36" t="s">
        <v>1372</v>
      </c>
      <c r="J73" s="27" t="s">
        <v>1373</v>
      </c>
      <c r="K73" s="36" t="s">
        <v>1374</v>
      </c>
      <c r="L73" s="36" t="s">
        <v>1375</v>
      </c>
      <c r="AE73" s="104" t="s">
        <v>1282</v>
      </c>
      <c r="AF73" s="36" t="s">
        <v>1380</v>
      </c>
      <c r="AG73" s="36" t="s">
        <v>1377</v>
      </c>
      <c r="AH73" s="27" t="s">
        <v>1381</v>
      </c>
      <c r="AM73" s="27">
        <v>150</v>
      </c>
      <c r="BD73" s="104" t="s">
        <v>1289</v>
      </c>
      <c r="BE73" s="27" t="s">
        <v>1379</v>
      </c>
    </row>
    <row r="74" spans="1:57" ht="15" customHeight="1" x14ac:dyDescent="0.2">
      <c r="A74" s="27" t="s">
        <v>513</v>
      </c>
      <c r="B74" s="27" t="s">
        <v>514</v>
      </c>
      <c r="C74" s="27" t="s">
        <v>43</v>
      </c>
      <c r="I74" s="36" t="s">
        <v>1372</v>
      </c>
      <c r="J74" s="27" t="s">
        <v>1373</v>
      </c>
      <c r="K74" s="36" t="s">
        <v>1374</v>
      </c>
      <c r="L74" s="36" t="s">
        <v>1375</v>
      </c>
      <c r="AE74" s="104" t="s">
        <v>1282</v>
      </c>
      <c r="AF74" s="36" t="s">
        <v>1380</v>
      </c>
      <c r="AG74" s="36" t="s">
        <v>1377</v>
      </c>
      <c r="AH74" s="27" t="s">
        <v>1381</v>
      </c>
      <c r="AM74" s="27">
        <v>150</v>
      </c>
      <c r="BD74" s="104" t="s">
        <v>1289</v>
      </c>
      <c r="BE74" s="27" t="s">
        <v>1379</v>
      </c>
    </row>
    <row r="75" spans="1:57" ht="16.5" customHeight="1" x14ac:dyDescent="0.2">
      <c r="A75" s="27" t="s">
        <v>518</v>
      </c>
      <c r="B75" s="27" t="s">
        <v>519</v>
      </c>
      <c r="C75" s="27" t="s">
        <v>43</v>
      </c>
      <c r="I75" s="36" t="s">
        <v>1372</v>
      </c>
      <c r="J75" s="27" t="s">
        <v>1373</v>
      </c>
      <c r="K75" s="36" t="s">
        <v>1374</v>
      </c>
      <c r="L75" s="36" t="s">
        <v>1375</v>
      </c>
      <c r="AE75" s="104" t="s">
        <v>1282</v>
      </c>
      <c r="AF75" s="36" t="s">
        <v>1380</v>
      </c>
      <c r="AG75" s="36" t="s">
        <v>1377</v>
      </c>
      <c r="AH75" s="27" t="s">
        <v>1381</v>
      </c>
      <c r="AM75" s="27">
        <v>150</v>
      </c>
      <c r="BD75" s="104" t="s">
        <v>1289</v>
      </c>
      <c r="BE75" s="27" t="s">
        <v>1379</v>
      </c>
    </row>
    <row r="76" spans="1:57" ht="12.75" customHeight="1" x14ac:dyDescent="0.2">
      <c r="A76" s="27" t="s">
        <v>522</v>
      </c>
      <c r="B76" s="27" t="s">
        <v>523</v>
      </c>
      <c r="C76" s="27" t="s">
        <v>43</v>
      </c>
      <c r="I76" s="36" t="s">
        <v>1372</v>
      </c>
      <c r="J76" s="27" t="s">
        <v>1373</v>
      </c>
      <c r="K76" s="36" t="s">
        <v>1374</v>
      </c>
      <c r="L76" s="36" t="s">
        <v>1375</v>
      </c>
      <c r="AE76" s="104" t="s">
        <v>1282</v>
      </c>
      <c r="AF76" s="36" t="s">
        <v>1380</v>
      </c>
      <c r="AG76" s="36" t="s">
        <v>1377</v>
      </c>
      <c r="AH76" s="27" t="s">
        <v>1381</v>
      </c>
      <c r="AM76" s="27">
        <v>150</v>
      </c>
      <c r="BD76" s="104" t="s">
        <v>1289</v>
      </c>
      <c r="BE76" s="27" t="s">
        <v>1379</v>
      </c>
    </row>
    <row r="77" spans="1:57" ht="18" customHeight="1" x14ac:dyDescent="0.2">
      <c r="A77" s="27" t="s">
        <v>527</v>
      </c>
      <c r="B77" s="27" t="s">
        <v>528</v>
      </c>
      <c r="C77" s="27" t="s">
        <v>43</v>
      </c>
      <c r="I77" s="36" t="s">
        <v>1372</v>
      </c>
      <c r="J77" s="27" t="s">
        <v>1373</v>
      </c>
      <c r="K77" s="36" t="s">
        <v>1374</v>
      </c>
      <c r="L77" s="36" t="s">
        <v>1375</v>
      </c>
      <c r="AE77" s="104" t="s">
        <v>1282</v>
      </c>
      <c r="AF77" s="36" t="s">
        <v>1380</v>
      </c>
      <c r="AG77" s="36" t="s">
        <v>1377</v>
      </c>
      <c r="AH77" s="27" t="s">
        <v>1381</v>
      </c>
      <c r="AM77" s="27">
        <v>150</v>
      </c>
      <c r="BD77" s="104" t="s">
        <v>1289</v>
      </c>
      <c r="BE77" s="27" t="s">
        <v>1379</v>
      </c>
    </row>
    <row r="78" spans="1:57" ht="12.75" customHeight="1" x14ac:dyDescent="0.2">
      <c r="A78" s="27" t="s">
        <v>535</v>
      </c>
      <c r="B78" s="27" t="s">
        <v>536</v>
      </c>
      <c r="C78" s="27" t="s">
        <v>43</v>
      </c>
      <c r="I78" s="36" t="s">
        <v>1372</v>
      </c>
      <c r="J78" s="27" t="s">
        <v>1373</v>
      </c>
      <c r="K78" s="36" t="s">
        <v>1374</v>
      </c>
      <c r="L78" s="36" t="s">
        <v>1375</v>
      </c>
      <c r="AE78" s="104" t="s">
        <v>1282</v>
      </c>
      <c r="AF78" s="36" t="s">
        <v>1380</v>
      </c>
      <c r="AG78" s="36" t="s">
        <v>1377</v>
      </c>
      <c r="AH78" s="27" t="s">
        <v>1381</v>
      </c>
      <c r="AM78" s="27">
        <v>150</v>
      </c>
      <c r="BD78" s="104" t="s">
        <v>1289</v>
      </c>
      <c r="BE78" s="27" t="s">
        <v>1379</v>
      </c>
    </row>
    <row r="79" spans="1:57" ht="17.25" customHeight="1" x14ac:dyDescent="0.2">
      <c r="A79" s="27" t="s">
        <v>541</v>
      </c>
      <c r="B79" s="27" t="s">
        <v>542</v>
      </c>
      <c r="C79" s="27" t="s">
        <v>43</v>
      </c>
      <c r="I79" s="36" t="s">
        <v>1372</v>
      </c>
      <c r="J79" s="27" t="s">
        <v>1373</v>
      </c>
      <c r="K79" s="36" t="s">
        <v>1374</v>
      </c>
      <c r="L79" s="36" t="s">
        <v>1375</v>
      </c>
      <c r="AE79" s="104" t="s">
        <v>1282</v>
      </c>
      <c r="AF79" s="36" t="s">
        <v>1380</v>
      </c>
      <c r="AG79" s="36" t="s">
        <v>1377</v>
      </c>
      <c r="AH79" s="27" t="s">
        <v>1381</v>
      </c>
      <c r="AM79" s="27">
        <v>150</v>
      </c>
      <c r="BD79" s="104" t="s">
        <v>1289</v>
      </c>
      <c r="BE79" s="27" t="s">
        <v>1379</v>
      </c>
    </row>
    <row r="80" spans="1:57" ht="17.25" customHeight="1" x14ac:dyDescent="0.2">
      <c r="A80" s="27" t="s">
        <v>544</v>
      </c>
      <c r="B80" s="27" t="s">
        <v>545</v>
      </c>
      <c r="C80" s="27" t="s">
        <v>43</v>
      </c>
      <c r="I80" s="36" t="s">
        <v>1372</v>
      </c>
      <c r="J80" s="27" t="s">
        <v>1373</v>
      </c>
      <c r="K80" s="36" t="s">
        <v>1374</v>
      </c>
      <c r="L80" s="36" t="s">
        <v>1375</v>
      </c>
      <c r="AE80" s="104" t="s">
        <v>1282</v>
      </c>
      <c r="AF80" s="36" t="s">
        <v>1380</v>
      </c>
      <c r="AG80" s="36" t="s">
        <v>1377</v>
      </c>
      <c r="AH80" s="27" t="s">
        <v>1381</v>
      </c>
      <c r="AM80" s="27">
        <v>150</v>
      </c>
      <c r="BD80" s="104" t="s">
        <v>1289</v>
      </c>
      <c r="BE80" s="27" t="s">
        <v>1379</v>
      </c>
    </row>
    <row r="81" spans="1:57" ht="15" customHeight="1" x14ac:dyDescent="0.2">
      <c r="A81" s="27" t="s">
        <v>550</v>
      </c>
      <c r="B81" s="27" t="s">
        <v>551</v>
      </c>
      <c r="C81" s="27" t="s">
        <v>1268</v>
      </c>
      <c r="I81" s="36" t="s">
        <v>1372</v>
      </c>
      <c r="J81" s="27" t="s">
        <v>1373</v>
      </c>
      <c r="K81" s="36" t="s">
        <v>1374</v>
      </c>
      <c r="L81" s="36" t="s">
        <v>1375</v>
      </c>
      <c r="AE81" s="104" t="s">
        <v>1282</v>
      </c>
      <c r="AF81" s="36" t="s">
        <v>1380</v>
      </c>
      <c r="AG81" s="36" t="s">
        <v>1377</v>
      </c>
      <c r="AH81" s="27" t="s">
        <v>1381</v>
      </c>
      <c r="AM81" s="27">
        <v>150</v>
      </c>
      <c r="BD81" s="104" t="s">
        <v>1289</v>
      </c>
      <c r="BE81" s="27" t="s">
        <v>1379</v>
      </c>
    </row>
    <row r="82" spans="1:57" ht="13.5" customHeight="1" x14ac:dyDescent="0.2">
      <c r="A82" s="27" t="s">
        <v>555</v>
      </c>
      <c r="B82" s="27" t="s">
        <v>556</v>
      </c>
      <c r="C82" s="27" t="s">
        <v>1268</v>
      </c>
      <c r="I82" s="36" t="s">
        <v>1372</v>
      </c>
      <c r="J82" s="27" t="s">
        <v>1373</v>
      </c>
      <c r="K82" s="36" t="s">
        <v>1374</v>
      </c>
      <c r="L82" s="36" t="s">
        <v>1375</v>
      </c>
      <c r="AE82" s="104" t="s">
        <v>661</v>
      </c>
      <c r="AF82" s="36" t="s">
        <v>661</v>
      </c>
      <c r="AG82" s="36" t="s">
        <v>661</v>
      </c>
      <c r="AH82" s="27" t="s">
        <v>1381</v>
      </c>
      <c r="AM82" s="27">
        <v>150</v>
      </c>
      <c r="BD82" s="104" t="s">
        <v>1289</v>
      </c>
      <c r="BE82" s="27" t="s">
        <v>1379</v>
      </c>
    </row>
    <row r="83" spans="1:57" ht="17.25" customHeight="1" x14ac:dyDescent="0.2">
      <c r="A83" s="27" t="s">
        <v>559</v>
      </c>
      <c r="B83" s="27" t="s">
        <v>560</v>
      </c>
      <c r="C83" s="27" t="s">
        <v>43</v>
      </c>
      <c r="I83" s="36" t="s">
        <v>1372</v>
      </c>
      <c r="J83" s="27" t="s">
        <v>1373</v>
      </c>
      <c r="K83" s="36" t="s">
        <v>1374</v>
      </c>
      <c r="L83" s="36" t="s">
        <v>1375</v>
      </c>
      <c r="AE83" s="104" t="s">
        <v>1282</v>
      </c>
      <c r="AF83" s="36" t="s">
        <v>1380</v>
      </c>
      <c r="AG83" s="36" t="s">
        <v>1377</v>
      </c>
      <c r="AH83" s="27" t="s">
        <v>1381</v>
      </c>
      <c r="AM83" s="27">
        <v>150</v>
      </c>
      <c r="BD83" s="104" t="s">
        <v>1289</v>
      </c>
      <c r="BE83" s="27" t="s">
        <v>1379</v>
      </c>
    </row>
    <row r="84" spans="1:57" ht="21" customHeight="1" x14ac:dyDescent="0.2">
      <c r="A84" s="27" t="s">
        <v>563</v>
      </c>
      <c r="B84" s="27" t="s">
        <v>564</v>
      </c>
      <c r="C84" s="27" t="s">
        <v>43</v>
      </c>
      <c r="I84" s="36" t="s">
        <v>1372</v>
      </c>
      <c r="J84" s="27" t="s">
        <v>1373</v>
      </c>
      <c r="K84" s="36" t="s">
        <v>1374</v>
      </c>
      <c r="L84" s="36" t="s">
        <v>1375</v>
      </c>
      <c r="AE84" s="104" t="s">
        <v>1282</v>
      </c>
      <c r="AF84" s="36" t="s">
        <v>1380</v>
      </c>
      <c r="AG84" s="36" t="s">
        <v>1377</v>
      </c>
      <c r="AH84" s="27" t="s">
        <v>1381</v>
      </c>
      <c r="AM84" s="27">
        <v>150</v>
      </c>
      <c r="BD84" s="104" t="s">
        <v>1289</v>
      </c>
      <c r="BE84" s="27" t="s">
        <v>1379</v>
      </c>
    </row>
    <row r="85" spans="1:57" ht="12.75" x14ac:dyDescent="0.2">
      <c r="K85" s="36"/>
      <c r="AE85" s="104"/>
      <c r="BD85" s="104"/>
    </row>
    <row r="86" spans="1:57" ht="12.75" x14ac:dyDescent="0.2">
      <c r="K86" s="36"/>
      <c r="AE86" s="104"/>
    </row>
    <row r="87" spans="1:57" ht="12.75" x14ac:dyDescent="0.2">
      <c r="K87" s="36"/>
      <c r="AE87" s="104"/>
    </row>
    <row r="88" spans="1:57" ht="12.75" x14ac:dyDescent="0.2">
      <c r="K88" s="36"/>
      <c r="AE88" s="104"/>
    </row>
    <row r="89" spans="1:57" ht="12.75" x14ac:dyDescent="0.2">
      <c r="K89" s="36"/>
      <c r="AE89" s="104"/>
    </row>
    <row r="90" spans="1:57" ht="12.75" x14ac:dyDescent="0.2">
      <c r="K90" s="36"/>
      <c r="AE90" s="104"/>
    </row>
    <row r="91" spans="1:57" ht="12.75" x14ac:dyDescent="0.2">
      <c r="K91" s="36"/>
      <c r="AE91" s="104"/>
    </row>
    <row r="92" spans="1:57" ht="12.75" x14ac:dyDescent="0.2">
      <c r="K92" s="36"/>
      <c r="AE92" s="104"/>
    </row>
    <row r="93" spans="1:57" ht="12.75" x14ac:dyDescent="0.2">
      <c r="AE93" s="104"/>
    </row>
    <row r="94" spans="1:57" ht="12.75" x14ac:dyDescent="0.2">
      <c r="AE94" s="104"/>
    </row>
    <row r="95" spans="1:57" ht="12.75" x14ac:dyDescent="0.2">
      <c r="AE95" s="104"/>
    </row>
    <row r="96" spans="1:57" ht="12.75" x14ac:dyDescent="0.2">
      <c r="AE96" s="104"/>
    </row>
    <row r="97" spans="31:31" ht="12.75" x14ac:dyDescent="0.2">
      <c r="AE97" s="104"/>
    </row>
    <row r="98" spans="31:31" ht="12.75" x14ac:dyDescent="0.2">
      <c r="AE98" s="104"/>
    </row>
    <row r="99" spans="31:31" ht="12.75" x14ac:dyDescent="0.2">
      <c r="AE99" s="104"/>
    </row>
    <row r="100" spans="31:31" ht="12.75" x14ac:dyDescent="0.2">
      <c r="AE100" s="104"/>
    </row>
    <row r="101" spans="31:31" ht="12.75" x14ac:dyDescent="0.2">
      <c r="AE101" s="104"/>
    </row>
    <row r="102" spans="31:31" ht="12.75" x14ac:dyDescent="0.2">
      <c r="AE102" s="104"/>
    </row>
    <row r="103" spans="31:31" ht="12.75" x14ac:dyDescent="0.2">
      <c r="AE103" s="104"/>
    </row>
  </sheetData>
  <mergeCells count="109">
    <mergeCell ref="CK2:CK4"/>
    <mergeCell ref="CL2:CL4"/>
    <mergeCell ref="CD2:CD4"/>
    <mergeCell ref="CE2:CE4"/>
    <mergeCell ref="CF2:CF4"/>
    <mergeCell ref="CG2:CG4"/>
    <mergeCell ref="CH2:CH4"/>
    <mergeCell ref="CI2:CI4"/>
    <mergeCell ref="CJ2:CJ4"/>
    <mergeCell ref="CB2:CB4"/>
    <mergeCell ref="CC2:CC4"/>
    <mergeCell ref="BU2:BU4"/>
    <mergeCell ref="BV2:BV4"/>
    <mergeCell ref="BW2:BW4"/>
    <mergeCell ref="BX2:BX4"/>
    <mergeCell ref="BY2:BY4"/>
    <mergeCell ref="BZ2:BZ4"/>
    <mergeCell ref="CA2:CA4"/>
    <mergeCell ref="BS2:BS4"/>
    <mergeCell ref="BT2:BT4"/>
    <mergeCell ref="BL2:BL4"/>
    <mergeCell ref="BM2:BM4"/>
    <mergeCell ref="BN2:BN4"/>
    <mergeCell ref="BO2:BO4"/>
    <mergeCell ref="BP2:BP4"/>
    <mergeCell ref="BQ2:BQ4"/>
    <mergeCell ref="BR2:BR4"/>
    <mergeCell ref="BJ2:BJ4"/>
    <mergeCell ref="BK2:BK4"/>
    <mergeCell ref="BC2:BC4"/>
    <mergeCell ref="BD2:BD4"/>
    <mergeCell ref="BE2:BE4"/>
    <mergeCell ref="BF2:BF4"/>
    <mergeCell ref="BG2:BG4"/>
    <mergeCell ref="BH2:BH4"/>
    <mergeCell ref="BI2:BI4"/>
    <mergeCell ref="BA2:BA4"/>
    <mergeCell ref="BB2:BB4"/>
    <mergeCell ref="AT2:AT4"/>
    <mergeCell ref="AU2:AU4"/>
    <mergeCell ref="AV2:AV4"/>
    <mergeCell ref="AW2:AW4"/>
    <mergeCell ref="AX2:AX4"/>
    <mergeCell ref="AY2:AY4"/>
    <mergeCell ref="AZ2:AZ4"/>
    <mergeCell ref="AR2:AR4"/>
    <mergeCell ref="AS2:AS4"/>
    <mergeCell ref="AK2:AK4"/>
    <mergeCell ref="AL2:AL4"/>
    <mergeCell ref="AM2:AM4"/>
    <mergeCell ref="AN2:AN4"/>
    <mergeCell ref="AO2:AO4"/>
    <mergeCell ref="AP2:AP4"/>
    <mergeCell ref="AQ2:AQ4"/>
    <mergeCell ref="A57:A58"/>
    <mergeCell ref="R2:R4"/>
    <mergeCell ref="S2:S4"/>
    <mergeCell ref="T2:T4"/>
    <mergeCell ref="U2:U4"/>
    <mergeCell ref="V2:V4"/>
    <mergeCell ref="W2:W4"/>
    <mergeCell ref="X2:X4"/>
    <mergeCell ref="Y2:Y4"/>
    <mergeCell ref="AM1:BC1"/>
    <mergeCell ref="BD1:BM1"/>
    <mergeCell ref="BN1:CC1"/>
    <mergeCell ref="CD1:CK1"/>
    <mergeCell ref="CL1:CU1"/>
    <mergeCell ref="D2:D4"/>
    <mergeCell ref="E2:E4"/>
    <mergeCell ref="F2:F4"/>
    <mergeCell ref="G2:G4"/>
    <mergeCell ref="H2:H4"/>
    <mergeCell ref="I2:I4"/>
    <mergeCell ref="J2:J4"/>
    <mergeCell ref="K2:K4"/>
    <mergeCell ref="L2:L4"/>
    <mergeCell ref="M2:M4"/>
    <mergeCell ref="N2:N4"/>
    <mergeCell ref="O2:O4"/>
    <mergeCell ref="AF2:AF4"/>
    <mergeCell ref="AG2:AG4"/>
    <mergeCell ref="AH2:AH4"/>
    <mergeCell ref="AI2:AI4"/>
    <mergeCell ref="AJ2:AJ4"/>
    <mergeCell ref="P2:P4"/>
    <mergeCell ref="Q2:Q4"/>
    <mergeCell ref="CT2:CT4"/>
    <mergeCell ref="CU2:CU4"/>
    <mergeCell ref="CM2:CM4"/>
    <mergeCell ref="CN2:CN4"/>
    <mergeCell ref="CO2:CO4"/>
    <mergeCell ref="CP2:CP4"/>
    <mergeCell ref="CQ2:CQ4"/>
    <mergeCell ref="CR2:CR4"/>
    <mergeCell ref="CS2:CS4"/>
    <mergeCell ref="AD2:AD4"/>
    <mergeCell ref="AE2:AE4"/>
    <mergeCell ref="A1:A4"/>
    <mergeCell ref="B1:B4"/>
    <mergeCell ref="C1:C4"/>
    <mergeCell ref="D1:H1"/>
    <mergeCell ref="I1:P1"/>
    <mergeCell ref="Q1:AD1"/>
    <mergeCell ref="AE1:AK1"/>
    <mergeCell ref="Z2:Z4"/>
    <mergeCell ref="AA2:AA4"/>
    <mergeCell ref="AB2:AB4"/>
    <mergeCell ref="AC2:AC4"/>
  </mergeCells>
  <dataValidations count="1">
    <dataValidation type="list" allowBlank="1" showErrorMessage="1" sqref="C5:C84" xr:uid="{00000000-0002-0000-0400-000000000000}">
      <formula1>"Active,Walk Out"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Profile</vt:lpstr>
      <vt:lpstr>Family Profile</vt:lpstr>
      <vt:lpstr>Cumulative Outputs</vt:lpstr>
      <vt:lpstr>Peer Group Feminist engagement</vt:lpstr>
      <vt:lpstr>Training &amp; Interphase Activity</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B Rajeshwari</cp:lastModifiedBy>
  <dcterms:created xsi:type="dcterms:W3CDTF">2025-12-29T10:45:37Z</dcterms:created>
  <dcterms:modified xsi:type="dcterms:W3CDTF">2025-12-29T10:45:37Z</dcterms:modified>
</cp:coreProperties>
</file>